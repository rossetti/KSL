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1" codeName="{EF0A3169-33C6-E2D0-F78B-2A1B1023552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rossetti/SyncedFolder/Teaching/INEG3623/Course Materials/ChapterFiles2ndEdition/ch3/"/>
    </mc:Choice>
  </mc:AlternateContent>
  <xr:revisionPtr revIDLastSave="0" documentId="8_{69628E99-70A9-EF4F-9719-98C655573524}" xr6:coauthVersionLast="45" xr6:coauthVersionMax="45" xr10:uidLastSave="{00000000-0000-0000-0000-000000000000}"/>
  <bookViews>
    <workbookView xWindow="13000" yWindow="640" windowWidth="23780" windowHeight="18720" firstSheet="4" activeTab="11" xr2:uid="{00000000-000D-0000-FFFF-FFFF00000000}"/>
  </bookViews>
  <sheets>
    <sheet name="RAND function" sheetId="1" r:id="rId1"/>
    <sheet name="Distributions" sheetId="2" r:id="rId2"/>
    <sheet name="DiscreteEmpirical" sheetId="3" r:id="rId3"/>
    <sheet name="Data Table" sheetId="9" r:id="rId4"/>
    <sheet name="Plotting the Function" sheetId="5" r:id="rId5"/>
    <sheet name="Simulation MC" sheetId="6" r:id="rId6"/>
    <sheet name="Simulation-Frozen" sheetId="7" r:id="rId7"/>
    <sheet name="PV Example" sheetId="4" r:id="rId8"/>
    <sheet name="PV Example n=1911" sheetId="14" r:id="rId9"/>
    <sheet name="News Vendor Example" sheetId="10" r:id="rId10"/>
    <sheet name="SampleSize" sheetId="11" r:id="rId11"/>
    <sheet name="Z SampleSize" sheetId="13" r:id="rId12"/>
    <sheet name="TINV" sheetId="12" r:id="rId13"/>
    <sheet name="Sheet3" sheetId="17" r:id="rId14"/>
  </sheets>
  <functionGroups builtInGroupCount="19"/>
  <externalReferences>
    <externalReference r:id="rId15"/>
  </externalReferences>
  <definedNames>
    <definedName name="alpha">#REF!</definedName>
    <definedName name="Count">#REF!</definedName>
    <definedName name="data">#REF!</definedName>
    <definedName name="df">#REF!</definedName>
    <definedName name="diff">#REF!</definedName>
    <definedName name="halfwidth">#REF!</definedName>
    <definedName name="lowerchisqvalue">#REF!</definedName>
    <definedName name="one">#REF!</definedName>
    <definedName name="prndata">'[1]Chi-square Test'!$B$1:$B$100</definedName>
    <definedName name="rep">#REF!</definedName>
    <definedName name="s_squared">#REF!</definedName>
    <definedName name="StdDev">#REF!</definedName>
    <definedName name="StdError">#REF!</definedName>
    <definedName name="tvalue">#REF!</definedName>
    <definedName name="two">#REF!</definedName>
    <definedName name="upperchisqvalue">#REF!</definedName>
    <definedName name="vAlpha">#REF!</definedName>
    <definedName name="Variance">#REF!</definedName>
    <definedName name="xbar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0" i="14" l="1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85" i="14"/>
  <c r="I86" i="14"/>
  <c r="I87" i="14"/>
  <c r="I88" i="14"/>
  <c r="I89" i="14"/>
  <c r="I90" i="14"/>
  <c r="I91" i="14"/>
  <c r="I92" i="14"/>
  <c r="I93" i="14"/>
  <c r="I94" i="14"/>
  <c r="I95" i="14"/>
  <c r="I96" i="14"/>
  <c r="I97" i="14"/>
  <c r="I98" i="14"/>
  <c r="I99" i="14"/>
  <c r="I100" i="14"/>
  <c r="I101" i="14"/>
  <c r="I102" i="14"/>
  <c r="I103" i="14"/>
  <c r="I104" i="14"/>
  <c r="I105" i="14"/>
  <c r="I106" i="14"/>
  <c r="I107" i="14"/>
  <c r="I108" i="14"/>
  <c r="I109" i="14"/>
  <c r="I110" i="14"/>
  <c r="I111" i="14"/>
  <c r="I112" i="14"/>
  <c r="I113" i="14"/>
  <c r="I114" i="14"/>
  <c r="I115" i="14"/>
  <c r="I116" i="14"/>
  <c r="I117" i="14"/>
  <c r="I118" i="14"/>
  <c r="I119" i="14"/>
  <c r="I120" i="14"/>
  <c r="I121" i="14"/>
  <c r="I122" i="14"/>
  <c r="I123" i="14"/>
  <c r="I124" i="14"/>
  <c r="I125" i="14"/>
  <c r="I126" i="14"/>
  <c r="I127" i="14"/>
  <c r="I128" i="14"/>
  <c r="I129" i="14"/>
  <c r="I130" i="14"/>
  <c r="I131" i="14"/>
  <c r="I132" i="14"/>
  <c r="I133" i="14"/>
  <c r="I134" i="14"/>
  <c r="I135" i="14"/>
  <c r="I136" i="14"/>
  <c r="I137" i="14"/>
  <c r="I138" i="14"/>
  <c r="I139" i="14"/>
  <c r="I140" i="14"/>
  <c r="I141" i="14"/>
  <c r="I142" i="14"/>
  <c r="I143" i="14"/>
  <c r="I144" i="14"/>
  <c r="I145" i="14"/>
  <c r="I146" i="14"/>
  <c r="I147" i="14"/>
  <c r="I148" i="14"/>
  <c r="I149" i="14"/>
  <c r="I150" i="14"/>
  <c r="I151" i="14"/>
  <c r="I152" i="14"/>
  <c r="I153" i="14"/>
  <c r="I154" i="14"/>
  <c r="I155" i="14"/>
  <c r="I156" i="14"/>
  <c r="I157" i="14"/>
  <c r="I158" i="14"/>
  <c r="I159" i="14"/>
  <c r="I160" i="14"/>
  <c r="I161" i="14"/>
  <c r="I162" i="14"/>
  <c r="I163" i="14"/>
  <c r="I164" i="14"/>
  <c r="I165" i="14"/>
  <c r="I166" i="14"/>
  <c r="I167" i="14"/>
  <c r="I168" i="14"/>
  <c r="I169" i="14"/>
  <c r="I170" i="14"/>
  <c r="I171" i="14"/>
  <c r="I172" i="14"/>
  <c r="I173" i="14"/>
  <c r="I174" i="14"/>
  <c r="I175" i="14"/>
  <c r="I176" i="14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201" i="14"/>
  <c r="I202" i="14"/>
  <c r="I203" i="14"/>
  <c r="I204" i="14"/>
  <c r="I205" i="14"/>
  <c r="I206" i="14"/>
  <c r="I207" i="14"/>
  <c r="I208" i="14"/>
  <c r="I209" i="14"/>
  <c r="I210" i="14"/>
  <c r="I211" i="14"/>
  <c r="I212" i="14"/>
  <c r="I213" i="14"/>
  <c r="I214" i="14"/>
  <c r="I215" i="14"/>
  <c r="I216" i="14"/>
  <c r="I217" i="14"/>
  <c r="I218" i="14"/>
  <c r="I219" i="14"/>
  <c r="I220" i="14"/>
  <c r="I221" i="14"/>
  <c r="I222" i="14"/>
  <c r="I223" i="14"/>
  <c r="I224" i="14"/>
  <c r="I225" i="14"/>
  <c r="I226" i="14"/>
  <c r="I227" i="14"/>
  <c r="I228" i="14"/>
  <c r="I229" i="14"/>
  <c r="I230" i="14"/>
  <c r="I231" i="14"/>
  <c r="I232" i="14"/>
  <c r="I233" i="14"/>
  <c r="I234" i="14"/>
  <c r="I235" i="14"/>
  <c r="I236" i="14"/>
  <c r="I237" i="14"/>
  <c r="I238" i="14"/>
  <c r="I239" i="14"/>
  <c r="I240" i="14"/>
  <c r="I241" i="14"/>
  <c r="I242" i="14"/>
  <c r="I243" i="14"/>
  <c r="I244" i="14"/>
  <c r="I245" i="14"/>
  <c r="I246" i="14"/>
  <c r="I247" i="14"/>
  <c r="I248" i="14"/>
  <c r="I249" i="14"/>
  <c r="I250" i="14"/>
  <c r="I251" i="14"/>
  <c r="I252" i="14"/>
  <c r="I253" i="14"/>
  <c r="I254" i="14"/>
  <c r="I255" i="14"/>
  <c r="I256" i="14"/>
  <c r="I257" i="14"/>
  <c r="I258" i="14"/>
  <c r="I259" i="14"/>
  <c r="I260" i="14"/>
  <c r="I261" i="14"/>
  <c r="I262" i="14"/>
  <c r="I263" i="14"/>
  <c r="I264" i="14"/>
  <c r="I265" i="14"/>
  <c r="I266" i="14"/>
  <c r="I267" i="14"/>
  <c r="I268" i="14"/>
  <c r="I269" i="14"/>
  <c r="I270" i="14"/>
  <c r="I271" i="14"/>
  <c r="I272" i="14"/>
  <c r="I273" i="14"/>
  <c r="I274" i="14"/>
  <c r="I275" i="14"/>
  <c r="I276" i="14"/>
  <c r="I277" i="14"/>
  <c r="I278" i="14"/>
  <c r="I279" i="14"/>
  <c r="I280" i="14"/>
  <c r="I281" i="14"/>
  <c r="I282" i="14"/>
  <c r="I283" i="14"/>
  <c r="I284" i="14"/>
  <c r="I285" i="14"/>
  <c r="I286" i="14"/>
  <c r="I287" i="14"/>
  <c r="I288" i="14"/>
  <c r="I289" i="14"/>
  <c r="I290" i="14"/>
  <c r="I291" i="14"/>
  <c r="I292" i="14"/>
  <c r="I293" i="14"/>
  <c r="I294" i="14"/>
  <c r="I295" i="14"/>
  <c r="I296" i="14"/>
  <c r="I297" i="14"/>
  <c r="I298" i="14"/>
  <c r="I299" i="14"/>
  <c r="I300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I377" i="14"/>
  <c r="I378" i="14"/>
  <c r="I379" i="14"/>
  <c r="I380" i="14"/>
  <c r="I381" i="14"/>
  <c r="I382" i="14"/>
  <c r="I383" i="14"/>
  <c r="I384" i="14"/>
  <c r="I385" i="14"/>
  <c r="I386" i="14"/>
  <c r="I387" i="14"/>
  <c r="I388" i="14"/>
  <c r="I389" i="14"/>
  <c r="I390" i="14"/>
  <c r="I391" i="14"/>
  <c r="I392" i="14"/>
  <c r="I393" i="14"/>
  <c r="I394" i="14"/>
  <c r="I395" i="14"/>
  <c r="I396" i="14"/>
  <c r="I397" i="14"/>
  <c r="I398" i="14"/>
  <c r="I399" i="14"/>
  <c r="I400" i="14"/>
  <c r="I401" i="14"/>
  <c r="I402" i="14"/>
  <c r="I403" i="14"/>
  <c r="I404" i="14"/>
  <c r="I405" i="14"/>
  <c r="I406" i="14"/>
  <c r="I407" i="14"/>
  <c r="I408" i="14"/>
  <c r="I409" i="14"/>
  <c r="I410" i="14"/>
  <c r="I411" i="14"/>
  <c r="I412" i="14"/>
  <c r="I413" i="14"/>
  <c r="I414" i="14"/>
  <c r="I415" i="14"/>
  <c r="I416" i="14"/>
  <c r="I417" i="14"/>
  <c r="I418" i="14"/>
  <c r="I419" i="14"/>
  <c r="I420" i="14"/>
  <c r="I421" i="14"/>
  <c r="I422" i="14"/>
  <c r="I423" i="14"/>
  <c r="I424" i="14"/>
  <c r="I425" i="14"/>
  <c r="I426" i="14"/>
  <c r="I427" i="14"/>
  <c r="I428" i="14"/>
  <c r="I429" i="14"/>
  <c r="I430" i="14"/>
  <c r="I431" i="14"/>
  <c r="I432" i="14"/>
  <c r="I433" i="14"/>
  <c r="I434" i="14"/>
  <c r="I435" i="14"/>
  <c r="I436" i="14"/>
  <c r="I437" i="14"/>
  <c r="I438" i="14"/>
  <c r="I439" i="14"/>
  <c r="I440" i="14"/>
  <c r="I441" i="14"/>
  <c r="I442" i="14"/>
  <c r="I443" i="14"/>
  <c r="I444" i="14"/>
  <c r="I445" i="14"/>
  <c r="I446" i="14"/>
  <c r="I447" i="14"/>
  <c r="I448" i="14"/>
  <c r="I449" i="14"/>
  <c r="I450" i="14"/>
  <c r="I451" i="14"/>
  <c r="I452" i="14"/>
  <c r="I453" i="14"/>
  <c r="I454" i="14"/>
  <c r="I455" i="14"/>
  <c r="I456" i="14"/>
  <c r="I457" i="14"/>
  <c r="I458" i="14"/>
  <c r="I459" i="14"/>
  <c r="I460" i="14"/>
  <c r="I461" i="14"/>
  <c r="I462" i="14"/>
  <c r="I463" i="14"/>
  <c r="I464" i="14"/>
  <c r="I465" i="14"/>
  <c r="I466" i="14"/>
  <c r="I467" i="14"/>
  <c r="I468" i="14"/>
  <c r="I469" i="14"/>
  <c r="I470" i="14"/>
  <c r="I471" i="14"/>
  <c r="I472" i="14"/>
  <c r="I473" i="14"/>
  <c r="I474" i="14"/>
  <c r="I475" i="14"/>
  <c r="I476" i="14"/>
  <c r="I477" i="14"/>
  <c r="I478" i="14"/>
  <c r="I479" i="14"/>
  <c r="I480" i="14"/>
  <c r="I481" i="14"/>
  <c r="I482" i="14"/>
  <c r="I483" i="14"/>
  <c r="I484" i="14"/>
  <c r="I485" i="14"/>
  <c r="I486" i="14"/>
  <c r="I487" i="14"/>
  <c r="I488" i="14"/>
  <c r="I489" i="14"/>
  <c r="I490" i="14"/>
  <c r="I491" i="14"/>
  <c r="I492" i="14"/>
  <c r="I493" i="14"/>
  <c r="I494" i="14"/>
  <c r="I495" i="14"/>
  <c r="I496" i="14"/>
  <c r="I497" i="14"/>
  <c r="I498" i="14"/>
  <c r="I499" i="14"/>
  <c r="I500" i="14"/>
  <c r="I501" i="14"/>
  <c r="I502" i="14"/>
  <c r="I503" i="14"/>
  <c r="I504" i="14"/>
  <c r="I505" i="14"/>
  <c r="I506" i="14"/>
  <c r="I507" i="14"/>
  <c r="I508" i="14"/>
  <c r="I509" i="14"/>
  <c r="I510" i="14"/>
  <c r="I511" i="14"/>
  <c r="I512" i="14"/>
  <c r="I513" i="14"/>
  <c r="I514" i="14"/>
  <c r="I515" i="14"/>
  <c r="I516" i="14"/>
  <c r="I517" i="14"/>
  <c r="I518" i="14"/>
  <c r="I519" i="14"/>
  <c r="I520" i="14"/>
  <c r="I521" i="14"/>
  <c r="I522" i="14"/>
  <c r="I523" i="14"/>
  <c r="I524" i="14"/>
  <c r="I525" i="14"/>
  <c r="I526" i="14"/>
  <c r="I527" i="14"/>
  <c r="I528" i="14"/>
  <c r="I529" i="14"/>
  <c r="I530" i="14"/>
  <c r="I531" i="14"/>
  <c r="I532" i="14"/>
  <c r="I533" i="14"/>
  <c r="I534" i="14"/>
  <c r="I535" i="14"/>
  <c r="I536" i="14"/>
  <c r="I537" i="14"/>
  <c r="I538" i="14"/>
  <c r="I539" i="14"/>
  <c r="I540" i="14"/>
  <c r="I541" i="14"/>
  <c r="I542" i="14"/>
  <c r="I543" i="14"/>
  <c r="I544" i="14"/>
  <c r="I545" i="14"/>
  <c r="I546" i="14"/>
  <c r="I547" i="14"/>
  <c r="I548" i="14"/>
  <c r="I549" i="14"/>
  <c r="I550" i="14"/>
  <c r="I551" i="14"/>
  <c r="I552" i="14"/>
  <c r="I553" i="14"/>
  <c r="I554" i="14"/>
  <c r="I555" i="14"/>
  <c r="I556" i="14"/>
  <c r="I557" i="14"/>
  <c r="I558" i="14"/>
  <c r="I559" i="14"/>
  <c r="I560" i="14"/>
  <c r="I561" i="14"/>
  <c r="I562" i="14"/>
  <c r="I563" i="14"/>
  <c r="I564" i="14"/>
  <c r="I565" i="14"/>
  <c r="I566" i="14"/>
  <c r="I567" i="14"/>
  <c r="I568" i="14"/>
  <c r="I569" i="14"/>
  <c r="I570" i="14"/>
  <c r="I571" i="14"/>
  <c r="I572" i="14"/>
  <c r="I573" i="14"/>
  <c r="I574" i="14"/>
  <c r="I575" i="14"/>
  <c r="I576" i="14"/>
  <c r="I577" i="14"/>
  <c r="I578" i="14"/>
  <c r="I579" i="14"/>
  <c r="I580" i="14"/>
  <c r="I581" i="14"/>
  <c r="I582" i="14"/>
  <c r="I583" i="14"/>
  <c r="I584" i="14"/>
  <c r="I585" i="14"/>
  <c r="I586" i="14"/>
  <c r="I587" i="14"/>
  <c r="I588" i="14"/>
  <c r="I589" i="14"/>
  <c r="I590" i="14"/>
  <c r="I591" i="14"/>
  <c r="I592" i="14"/>
  <c r="I593" i="14"/>
  <c r="I594" i="14"/>
  <c r="I595" i="14"/>
  <c r="I596" i="14"/>
  <c r="I597" i="14"/>
  <c r="I598" i="14"/>
  <c r="I599" i="14"/>
  <c r="I600" i="14"/>
  <c r="I601" i="14"/>
  <c r="I602" i="14"/>
  <c r="I603" i="14"/>
  <c r="I604" i="14"/>
  <c r="I605" i="14"/>
  <c r="I606" i="14"/>
  <c r="I607" i="14"/>
  <c r="I608" i="14"/>
  <c r="I609" i="14"/>
  <c r="I610" i="14"/>
  <c r="I611" i="14"/>
  <c r="I612" i="14"/>
  <c r="I613" i="14"/>
  <c r="I614" i="14"/>
  <c r="I615" i="14"/>
  <c r="I616" i="14"/>
  <c r="I617" i="14"/>
  <c r="I618" i="14"/>
  <c r="I619" i="14"/>
  <c r="I620" i="14"/>
  <c r="I621" i="14"/>
  <c r="I622" i="14"/>
  <c r="I623" i="14"/>
  <c r="I624" i="14"/>
  <c r="I625" i="14"/>
  <c r="I626" i="14"/>
  <c r="I627" i="14"/>
  <c r="I628" i="14"/>
  <c r="I629" i="14"/>
  <c r="I630" i="14"/>
  <c r="I631" i="14"/>
  <c r="I632" i="14"/>
  <c r="I633" i="14"/>
  <c r="I634" i="14"/>
  <c r="I635" i="14"/>
  <c r="I636" i="14"/>
  <c r="I637" i="14"/>
  <c r="I638" i="14"/>
  <c r="I639" i="14"/>
  <c r="I640" i="14"/>
  <c r="I641" i="14"/>
  <c r="I642" i="14"/>
  <c r="I643" i="14"/>
  <c r="I644" i="14"/>
  <c r="I645" i="14"/>
  <c r="I646" i="14"/>
  <c r="I647" i="14"/>
  <c r="I648" i="14"/>
  <c r="I649" i="14"/>
  <c r="I650" i="14"/>
  <c r="I651" i="14"/>
  <c r="I652" i="14"/>
  <c r="I653" i="14"/>
  <c r="I654" i="14"/>
  <c r="I655" i="14"/>
  <c r="I656" i="14"/>
  <c r="I657" i="14"/>
  <c r="I658" i="14"/>
  <c r="I659" i="14"/>
  <c r="I660" i="14"/>
  <c r="I661" i="14"/>
  <c r="I662" i="14"/>
  <c r="I663" i="14"/>
  <c r="I664" i="14"/>
  <c r="I665" i="14"/>
  <c r="I666" i="14"/>
  <c r="I667" i="14"/>
  <c r="I668" i="14"/>
  <c r="I669" i="14"/>
  <c r="I670" i="14"/>
  <c r="I671" i="14"/>
  <c r="I672" i="14"/>
  <c r="I673" i="14"/>
  <c r="I674" i="14"/>
  <c r="I675" i="14"/>
  <c r="I676" i="14"/>
  <c r="I677" i="14"/>
  <c r="I678" i="14"/>
  <c r="I679" i="14"/>
  <c r="I680" i="14"/>
  <c r="I681" i="14"/>
  <c r="I682" i="14"/>
  <c r="I683" i="14"/>
  <c r="I684" i="14"/>
  <c r="I685" i="14"/>
  <c r="I686" i="14"/>
  <c r="I687" i="14"/>
  <c r="I688" i="14"/>
  <c r="I689" i="14"/>
  <c r="I690" i="14"/>
  <c r="I691" i="14"/>
  <c r="I692" i="14"/>
  <c r="I693" i="14"/>
  <c r="I694" i="14"/>
  <c r="I695" i="14"/>
  <c r="I696" i="14"/>
  <c r="I697" i="14"/>
  <c r="I698" i="14"/>
  <c r="I699" i="14"/>
  <c r="I700" i="14"/>
  <c r="I701" i="14"/>
  <c r="I702" i="14"/>
  <c r="I703" i="14"/>
  <c r="I704" i="14"/>
  <c r="I705" i="14"/>
  <c r="I706" i="14"/>
  <c r="I707" i="14"/>
  <c r="I708" i="14"/>
  <c r="I709" i="14"/>
  <c r="I710" i="14"/>
  <c r="I711" i="14"/>
  <c r="I712" i="14"/>
  <c r="I713" i="14"/>
  <c r="I714" i="14"/>
  <c r="I715" i="14"/>
  <c r="I716" i="14"/>
  <c r="I717" i="14"/>
  <c r="I718" i="14"/>
  <c r="I719" i="14"/>
  <c r="I720" i="14"/>
  <c r="I721" i="14"/>
  <c r="I722" i="14"/>
  <c r="I723" i="14"/>
  <c r="I724" i="14"/>
  <c r="I725" i="14"/>
  <c r="I726" i="14"/>
  <c r="I727" i="14"/>
  <c r="I728" i="14"/>
  <c r="I729" i="14"/>
  <c r="I730" i="14"/>
  <c r="I731" i="14"/>
  <c r="I732" i="14"/>
  <c r="I733" i="14"/>
  <c r="I734" i="14"/>
  <c r="I735" i="14"/>
  <c r="I736" i="14"/>
  <c r="I737" i="14"/>
  <c r="I738" i="14"/>
  <c r="I739" i="14"/>
  <c r="I740" i="14"/>
  <c r="I741" i="14"/>
  <c r="I742" i="14"/>
  <c r="I743" i="14"/>
  <c r="I744" i="14"/>
  <c r="I745" i="14"/>
  <c r="I746" i="14"/>
  <c r="I747" i="14"/>
  <c r="I748" i="14"/>
  <c r="I749" i="14"/>
  <c r="I750" i="14"/>
  <c r="I751" i="14"/>
  <c r="I752" i="14"/>
  <c r="I753" i="14"/>
  <c r="I754" i="14"/>
  <c r="I755" i="14"/>
  <c r="I756" i="14"/>
  <c r="I757" i="14"/>
  <c r="I758" i="14"/>
  <c r="I759" i="14"/>
  <c r="I760" i="14"/>
  <c r="I761" i="14"/>
  <c r="I762" i="14"/>
  <c r="I763" i="14"/>
  <c r="I764" i="14"/>
  <c r="I765" i="14"/>
  <c r="I766" i="14"/>
  <c r="I767" i="14"/>
  <c r="I768" i="14"/>
  <c r="I769" i="14"/>
  <c r="I770" i="14"/>
  <c r="I771" i="14"/>
  <c r="I772" i="14"/>
  <c r="I773" i="14"/>
  <c r="I774" i="14"/>
  <c r="I775" i="14"/>
  <c r="I776" i="14"/>
  <c r="I777" i="14"/>
  <c r="I778" i="14"/>
  <c r="I779" i="14"/>
  <c r="I780" i="14"/>
  <c r="I781" i="14"/>
  <c r="I782" i="14"/>
  <c r="I783" i="14"/>
  <c r="I784" i="14"/>
  <c r="I785" i="14"/>
  <c r="I786" i="14"/>
  <c r="I787" i="14"/>
  <c r="I788" i="14"/>
  <c r="I789" i="14"/>
  <c r="I790" i="14"/>
  <c r="I791" i="14"/>
  <c r="I792" i="14"/>
  <c r="I793" i="14"/>
  <c r="I794" i="14"/>
  <c r="I795" i="14"/>
  <c r="I796" i="14"/>
  <c r="I797" i="14"/>
  <c r="I798" i="14"/>
  <c r="I799" i="14"/>
  <c r="I800" i="14"/>
  <c r="I801" i="14"/>
  <c r="I802" i="14"/>
  <c r="I803" i="14"/>
  <c r="I804" i="14"/>
  <c r="I805" i="14"/>
  <c r="I806" i="14"/>
  <c r="I807" i="14"/>
  <c r="I808" i="14"/>
  <c r="I809" i="14"/>
  <c r="I810" i="14"/>
  <c r="I811" i="14"/>
  <c r="I812" i="14"/>
  <c r="I813" i="14"/>
  <c r="I814" i="14"/>
  <c r="I815" i="14"/>
  <c r="I816" i="14"/>
  <c r="I817" i="14"/>
  <c r="I818" i="14"/>
  <c r="I819" i="14"/>
  <c r="I820" i="14"/>
  <c r="I821" i="14"/>
  <c r="I822" i="14"/>
  <c r="I823" i="14"/>
  <c r="I824" i="14"/>
  <c r="I825" i="14"/>
  <c r="I826" i="14"/>
  <c r="I827" i="14"/>
  <c r="I828" i="14"/>
  <c r="I829" i="14"/>
  <c r="I830" i="14"/>
  <c r="I831" i="14"/>
  <c r="I832" i="14"/>
  <c r="I833" i="14"/>
  <c r="I834" i="14"/>
  <c r="I835" i="14"/>
  <c r="I836" i="14"/>
  <c r="I837" i="14"/>
  <c r="I838" i="14"/>
  <c r="I839" i="14"/>
  <c r="I840" i="14"/>
  <c r="I841" i="14"/>
  <c r="I842" i="14"/>
  <c r="I843" i="14"/>
  <c r="I844" i="14"/>
  <c r="I845" i="14"/>
  <c r="I846" i="14"/>
  <c r="I847" i="14"/>
  <c r="I848" i="14"/>
  <c r="I849" i="14"/>
  <c r="I850" i="14"/>
  <c r="I851" i="14"/>
  <c r="I852" i="14"/>
  <c r="I853" i="14"/>
  <c r="I854" i="14"/>
  <c r="I855" i="14"/>
  <c r="I856" i="14"/>
  <c r="I857" i="14"/>
  <c r="I858" i="14"/>
  <c r="I859" i="14"/>
  <c r="I860" i="14"/>
  <c r="I861" i="14"/>
  <c r="I862" i="14"/>
  <c r="I863" i="14"/>
  <c r="I864" i="14"/>
  <c r="I865" i="14"/>
  <c r="I866" i="14"/>
  <c r="I867" i="14"/>
  <c r="I868" i="14"/>
  <c r="I869" i="14"/>
  <c r="I870" i="14"/>
  <c r="I871" i="14"/>
  <c r="I872" i="14"/>
  <c r="I873" i="14"/>
  <c r="I874" i="14"/>
  <c r="I875" i="14"/>
  <c r="I876" i="14"/>
  <c r="I877" i="14"/>
  <c r="I878" i="14"/>
  <c r="I879" i="14"/>
  <c r="I880" i="14"/>
  <c r="I881" i="14"/>
  <c r="I882" i="14"/>
  <c r="I883" i="14"/>
  <c r="I884" i="14"/>
  <c r="I885" i="14"/>
  <c r="I886" i="14"/>
  <c r="I887" i="14"/>
  <c r="I888" i="14"/>
  <c r="I889" i="14"/>
  <c r="I890" i="14"/>
  <c r="I891" i="14"/>
  <c r="I892" i="14"/>
  <c r="I893" i="14"/>
  <c r="I894" i="14"/>
  <c r="I895" i="14"/>
  <c r="I896" i="14"/>
  <c r="I897" i="14"/>
  <c r="I898" i="14"/>
  <c r="I899" i="14"/>
  <c r="I900" i="14"/>
  <c r="I901" i="14"/>
  <c r="I902" i="14"/>
  <c r="I903" i="14"/>
  <c r="I904" i="14"/>
  <c r="I905" i="14"/>
  <c r="I906" i="14"/>
  <c r="I907" i="14"/>
  <c r="I908" i="14"/>
  <c r="I909" i="14"/>
  <c r="I910" i="14"/>
  <c r="I911" i="14"/>
  <c r="I912" i="14"/>
  <c r="I913" i="14"/>
  <c r="I914" i="14"/>
  <c r="I915" i="14"/>
  <c r="I916" i="14"/>
  <c r="I917" i="14"/>
  <c r="I918" i="14"/>
  <c r="I919" i="14"/>
  <c r="I920" i="14"/>
  <c r="I921" i="14"/>
  <c r="I922" i="14"/>
  <c r="I923" i="14"/>
  <c r="I924" i="14"/>
  <c r="I925" i="14"/>
  <c r="I926" i="14"/>
  <c r="I927" i="14"/>
  <c r="I928" i="14"/>
  <c r="I929" i="14"/>
  <c r="I930" i="14"/>
  <c r="I931" i="14"/>
  <c r="I932" i="14"/>
  <c r="I933" i="14"/>
  <c r="I934" i="14"/>
  <c r="I935" i="14"/>
  <c r="I936" i="14"/>
  <c r="I937" i="14"/>
  <c r="I938" i="14"/>
  <c r="I939" i="14"/>
  <c r="I940" i="14"/>
  <c r="I941" i="14"/>
  <c r="I942" i="14"/>
  <c r="I943" i="14"/>
  <c r="I944" i="14"/>
  <c r="I945" i="14"/>
  <c r="I946" i="14"/>
  <c r="I947" i="14"/>
  <c r="I948" i="14"/>
  <c r="I949" i="14"/>
  <c r="I950" i="14"/>
  <c r="I951" i="14"/>
  <c r="I952" i="14"/>
  <c r="I953" i="14"/>
  <c r="I954" i="14"/>
  <c r="I955" i="14"/>
  <c r="I956" i="14"/>
  <c r="I957" i="14"/>
  <c r="I958" i="14"/>
  <c r="I959" i="14"/>
  <c r="I960" i="14"/>
  <c r="I961" i="14"/>
  <c r="I962" i="14"/>
  <c r="I963" i="14"/>
  <c r="I964" i="14"/>
  <c r="I965" i="14"/>
  <c r="I966" i="14"/>
  <c r="I967" i="14"/>
  <c r="I968" i="14"/>
  <c r="I969" i="14"/>
  <c r="I970" i="14"/>
  <c r="I971" i="14"/>
  <c r="I972" i="14"/>
  <c r="I973" i="14"/>
  <c r="I974" i="14"/>
  <c r="I975" i="14"/>
  <c r="I976" i="14"/>
  <c r="I977" i="14"/>
  <c r="I978" i="14"/>
  <c r="I979" i="14"/>
  <c r="I980" i="14"/>
  <c r="I981" i="14"/>
  <c r="I982" i="14"/>
  <c r="I983" i="14"/>
  <c r="I984" i="14"/>
  <c r="I985" i="14"/>
  <c r="I986" i="14"/>
  <c r="I987" i="14"/>
  <c r="I988" i="14"/>
  <c r="I989" i="14"/>
  <c r="I990" i="14"/>
  <c r="I991" i="14"/>
  <c r="I992" i="14"/>
  <c r="I993" i="14"/>
  <c r="I994" i="14"/>
  <c r="I995" i="14"/>
  <c r="I996" i="14"/>
  <c r="I997" i="14"/>
  <c r="I998" i="14"/>
  <c r="I999" i="14"/>
  <c r="I1000" i="14"/>
  <c r="I1001" i="14"/>
  <c r="I1002" i="14"/>
  <c r="I1003" i="14"/>
  <c r="I1004" i="14"/>
  <c r="I1005" i="14"/>
  <c r="I1006" i="14"/>
  <c r="I1007" i="14"/>
  <c r="I1008" i="14"/>
  <c r="I1009" i="14"/>
  <c r="I1010" i="14"/>
  <c r="I1011" i="14"/>
  <c r="I1012" i="14"/>
  <c r="I1013" i="14"/>
  <c r="I1014" i="14"/>
  <c r="I1015" i="14"/>
  <c r="I1016" i="14"/>
  <c r="I1017" i="14"/>
  <c r="I1018" i="14"/>
  <c r="I1019" i="14"/>
  <c r="I1020" i="14"/>
  <c r="I1021" i="14"/>
  <c r="I1022" i="14"/>
  <c r="I1023" i="14"/>
  <c r="I1024" i="14"/>
  <c r="I1025" i="14"/>
  <c r="I1026" i="14"/>
  <c r="I1027" i="14"/>
  <c r="I1028" i="14"/>
  <c r="I1029" i="14"/>
  <c r="I1030" i="14"/>
  <c r="I1031" i="14"/>
  <c r="I1032" i="14"/>
  <c r="I1033" i="14"/>
  <c r="I1034" i="14"/>
  <c r="I1035" i="14"/>
  <c r="I1036" i="14"/>
  <c r="I1037" i="14"/>
  <c r="I1038" i="14"/>
  <c r="I1039" i="14"/>
  <c r="I1040" i="14"/>
  <c r="I1041" i="14"/>
  <c r="I1042" i="14"/>
  <c r="I1043" i="14"/>
  <c r="I1044" i="14"/>
  <c r="I1045" i="14"/>
  <c r="I1046" i="14"/>
  <c r="I1047" i="14"/>
  <c r="I1048" i="14"/>
  <c r="I1049" i="14"/>
  <c r="I1050" i="14"/>
  <c r="I1051" i="14"/>
  <c r="I1052" i="14"/>
  <c r="I1053" i="14"/>
  <c r="I1054" i="14"/>
  <c r="I1055" i="14"/>
  <c r="I1056" i="14"/>
  <c r="I1057" i="14"/>
  <c r="I1058" i="14"/>
  <c r="I1059" i="14"/>
  <c r="I1060" i="14"/>
  <c r="I1061" i="14"/>
  <c r="I1062" i="14"/>
  <c r="I1063" i="14"/>
  <c r="I1064" i="14"/>
  <c r="I1065" i="14"/>
  <c r="I1066" i="14"/>
  <c r="I1067" i="14"/>
  <c r="I1068" i="14"/>
  <c r="I1069" i="14"/>
  <c r="I1070" i="14"/>
  <c r="I1071" i="14"/>
  <c r="I1072" i="14"/>
  <c r="I1073" i="14"/>
  <c r="I1074" i="14"/>
  <c r="I1075" i="14"/>
  <c r="I1076" i="14"/>
  <c r="I1077" i="14"/>
  <c r="I1078" i="14"/>
  <c r="I1079" i="14"/>
  <c r="I1080" i="14"/>
  <c r="I1081" i="14"/>
  <c r="I1082" i="14"/>
  <c r="I1083" i="14"/>
  <c r="I1084" i="14"/>
  <c r="I1085" i="14"/>
  <c r="I1086" i="14"/>
  <c r="I1087" i="14"/>
  <c r="I1088" i="14"/>
  <c r="I1089" i="14"/>
  <c r="I1090" i="14"/>
  <c r="I1091" i="14"/>
  <c r="I1092" i="14"/>
  <c r="I1093" i="14"/>
  <c r="I1094" i="14"/>
  <c r="I1095" i="14"/>
  <c r="I1096" i="14"/>
  <c r="I1097" i="14"/>
  <c r="I1098" i="14"/>
  <c r="I1099" i="14"/>
  <c r="I1100" i="14"/>
  <c r="I1101" i="14"/>
  <c r="I1102" i="14"/>
  <c r="I1103" i="14"/>
  <c r="I1104" i="14"/>
  <c r="I1105" i="14"/>
  <c r="I1106" i="14"/>
  <c r="I1107" i="14"/>
  <c r="I1108" i="14"/>
  <c r="I1109" i="14"/>
  <c r="I1110" i="14"/>
  <c r="I1111" i="14"/>
  <c r="I1112" i="14"/>
  <c r="I1113" i="14"/>
  <c r="I1114" i="14"/>
  <c r="I1115" i="14"/>
  <c r="I1116" i="14"/>
  <c r="I1117" i="14"/>
  <c r="I1118" i="14"/>
  <c r="I1119" i="14"/>
  <c r="I1120" i="14"/>
  <c r="I1121" i="14"/>
  <c r="I1122" i="14"/>
  <c r="I1123" i="14"/>
  <c r="I1124" i="14"/>
  <c r="I1125" i="14"/>
  <c r="I1126" i="14"/>
  <c r="I1127" i="14"/>
  <c r="I1128" i="14"/>
  <c r="I1129" i="14"/>
  <c r="I1130" i="14"/>
  <c r="I1131" i="14"/>
  <c r="I1132" i="14"/>
  <c r="I1133" i="14"/>
  <c r="I1134" i="14"/>
  <c r="I1135" i="14"/>
  <c r="I1136" i="14"/>
  <c r="I1137" i="14"/>
  <c r="I1138" i="14"/>
  <c r="I1139" i="14"/>
  <c r="I1140" i="14"/>
  <c r="I1141" i="14"/>
  <c r="I1142" i="14"/>
  <c r="I1143" i="14"/>
  <c r="I1144" i="14"/>
  <c r="I1145" i="14"/>
  <c r="I1146" i="14"/>
  <c r="I1147" i="14"/>
  <c r="I1148" i="14"/>
  <c r="I1149" i="14"/>
  <c r="I1150" i="14"/>
  <c r="I1151" i="14"/>
  <c r="I1152" i="14"/>
  <c r="I1153" i="14"/>
  <c r="I1154" i="14"/>
  <c r="I1155" i="14"/>
  <c r="I1156" i="14"/>
  <c r="I1157" i="14"/>
  <c r="I1158" i="14"/>
  <c r="I1159" i="14"/>
  <c r="I1160" i="14"/>
  <c r="I1161" i="14"/>
  <c r="I1162" i="14"/>
  <c r="I1163" i="14"/>
  <c r="I1164" i="14"/>
  <c r="I1165" i="14"/>
  <c r="I1166" i="14"/>
  <c r="I1167" i="14"/>
  <c r="I1168" i="14"/>
  <c r="I1169" i="14"/>
  <c r="I1170" i="14"/>
  <c r="I1171" i="14"/>
  <c r="I1172" i="14"/>
  <c r="I1173" i="14"/>
  <c r="I1174" i="14"/>
  <c r="I1175" i="14"/>
  <c r="I1176" i="14"/>
  <c r="I1177" i="14"/>
  <c r="I1178" i="14"/>
  <c r="I1179" i="14"/>
  <c r="I1180" i="14"/>
  <c r="I1181" i="14"/>
  <c r="I1182" i="14"/>
  <c r="I1183" i="14"/>
  <c r="I1184" i="14"/>
  <c r="I1185" i="14"/>
  <c r="I1186" i="14"/>
  <c r="I1187" i="14"/>
  <c r="I1188" i="14"/>
  <c r="I1189" i="14"/>
  <c r="I1190" i="14"/>
  <c r="I1191" i="14"/>
  <c r="I1192" i="14"/>
  <c r="I1193" i="14"/>
  <c r="I1194" i="14"/>
  <c r="I1195" i="14"/>
  <c r="I1196" i="14"/>
  <c r="I1197" i="14"/>
  <c r="I1198" i="14"/>
  <c r="I1199" i="14"/>
  <c r="I1200" i="14"/>
  <c r="I1201" i="14"/>
  <c r="I1202" i="14"/>
  <c r="I1203" i="14"/>
  <c r="I1204" i="14"/>
  <c r="I1205" i="14"/>
  <c r="I1206" i="14"/>
  <c r="I1207" i="14"/>
  <c r="I1208" i="14"/>
  <c r="I1209" i="14"/>
  <c r="I1210" i="14"/>
  <c r="I1211" i="14"/>
  <c r="I1212" i="14"/>
  <c r="I1213" i="14"/>
  <c r="I1214" i="14"/>
  <c r="I1215" i="14"/>
  <c r="I1216" i="14"/>
  <c r="I1217" i="14"/>
  <c r="I1218" i="14"/>
  <c r="I1219" i="14"/>
  <c r="I1220" i="14"/>
  <c r="I1221" i="14"/>
  <c r="I1222" i="14"/>
  <c r="I1223" i="14"/>
  <c r="I1224" i="14"/>
  <c r="I1225" i="14"/>
  <c r="I1226" i="14"/>
  <c r="I1227" i="14"/>
  <c r="I1228" i="14"/>
  <c r="I1229" i="14"/>
  <c r="I1230" i="14"/>
  <c r="I1231" i="14"/>
  <c r="I1232" i="14"/>
  <c r="I1233" i="14"/>
  <c r="I1234" i="14"/>
  <c r="I1235" i="14"/>
  <c r="I1236" i="14"/>
  <c r="I1237" i="14"/>
  <c r="I1238" i="14"/>
  <c r="I1239" i="14"/>
  <c r="I1240" i="14"/>
  <c r="I1241" i="14"/>
  <c r="I1242" i="14"/>
  <c r="I1243" i="14"/>
  <c r="I1244" i="14"/>
  <c r="I1245" i="14"/>
  <c r="I1246" i="14"/>
  <c r="I1247" i="14"/>
  <c r="I1248" i="14"/>
  <c r="I1249" i="14"/>
  <c r="I1250" i="14"/>
  <c r="I1251" i="14"/>
  <c r="I1252" i="14"/>
  <c r="I1253" i="14"/>
  <c r="I1254" i="14"/>
  <c r="I1255" i="14"/>
  <c r="I1256" i="14"/>
  <c r="I1257" i="14"/>
  <c r="I1258" i="14"/>
  <c r="I1259" i="14"/>
  <c r="I1260" i="14"/>
  <c r="I1261" i="14"/>
  <c r="I1262" i="14"/>
  <c r="I1263" i="14"/>
  <c r="I1264" i="14"/>
  <c r="I1265" i="14"/>
  <c r="I1266" i="14"/>
  <c r="I1267" i="14"/>
  <c r="I1268" i="14"/>
  <c r="I1269" i="14"/>
  <c r="I1270" i="14"/>
  <c r="I1271" i="14"/>
  <c r="I1272" i="14"/>
  <c r="I1273" i="14"/>
  <c r="I1274" i="14"/>
  <c r="I1275" i="14"/>
  <c r="I1276" i="14"/>
  <c r="I1277" i="14"/>
  <c r="I1278" i="14"/>
  <c r="I1279" i="14"/>
  <c r="I1280" i="14"/>
  <c r="I1281" i="14"/>
  <c r="I1282" i="14"/>
  <c r="I1283" i="14"/>
  <c r="I1284" i="14"/>
  <c r="I1285" i="14"/>
  <c r="I1286" i="14"/>
  <c r="I1287" i="14"/>
  <c r="I1288" i="14"/>
  <c r="I1289" i="14"/>
  <c r="I1290" i="14"/>
  <c r="I1291" i="14"/>
  <c r="I1292" i="14"/>
  <c r="I1293" i="14"/>
  <c r="I1294" i="14"/>
  <c r="I1295" i="14"/>
  <c r="I1296" i="14"/>
  <c r="I1297" i="14"/>
  <c r="I1298" i="14"/>
  <c r="I1299" i="14"/>
  <c r="I1300" i="14"/>
  <c r="I1301" i="14"/>
  <c r="I1302" i="14"/>
  <c r="I1303" i="14"/>
  <c r="I1304" i="14"/>
  <c r="I1305" i="14"/>
  <c r="I1306" i="14"/>
  <c r="I1307" i="14"/>
  <c r="I1308" i="14"/>
  <c r="I1309" i="14"/>
  <c r="I1310" i="14"/>
  <c r="I1311" i="14"/>
  <c r="I1312" i="14"/>
  <c r="I1313" i="14"/>
  <c r="I1314" i="14"/>
  <c r="I1315" i="14"/>
  <c r="I1316" i="14"/>
  <c r="I1317" i="14"/>
  <c r="I1318" i="14"/>
  <c r="I1319" i="14"/>
  <c r="I1320" i="14"/>
  <c r="I1321" i="14"/>
  <c r="I1322" i="14"/>
  <c r="I1323" i="14"/>
  <c r="I1324" i="14"/>
  <c r="I1325" i="14"/>
  <c r="I1326" i="14"/>
  <c r="I1327" i="14"/>
  <c r="I1328" i="14"/>
  <c r="I1329" i="14"/>
  <c r="I1330" i="14"/>
  <c r="I1331" i="14"/>
  <c r="I1332" i="14"/>
  <c r="I1333" i="14"/>
  <c r="I1334" i="14"/>
  <c r="I1335" i="14"/>
  <c r="I1336" i="14"/>
  <c r="I1337" i="14"/>
  <c r="I1338" i="14"/>
  <c r="I1339" i="14"/>
  <c r="I1340" i="14"/>
  <c r="I1341" i="14"/>
  <c r="I1342" i="14"/>
  <c r="I1343" i="14"/>
  <c r="I1344" i="14"/>
  <c r="I1345" i="14"/>
  <c r="I1346" i="14"/>
  <c r="I1347" i="14"/>
  <c r="I1348" i="14"/>
  <c r="I1349" i="14"/>
  <c r="I1350" i="14"/>
  <c r="I1351" i="14"/>
  <c r="I1352" i="14"/>
  <c r="I1353" i="14"/>
  <c r="I1354" i="14"/>
  <c r="I1355" i="14"/>
  <c r="I1356" i="14"/>
  <c r="I1357" i="14"/>
  <c r="I1358" i="14"/>
  <c r="I1359" i="14"/>
  <c r="I1360" i="14"/>
  <c r="I1361" i="14"/>
  <c r="I1362" i="14"/>
  <c r="I1363" i="14"/>
  <c r="I1364" i="14"/>
  <c r="I1365" i="14"/>
  <c r="I1366" i="14"/>
  <c r="I1367" i="14"/>
  <c r="I1368" i="14"/>
  <c r="I1369" i="14"/>
  <c r="I1370" i="14"/>
  <c r="I1371" i="14"/>
  <c r="I1372" i="14"/>
  <c r="I1373" i="14"/>
  <c r="I1374" i="14"/>
  <c r="I1375" i="14"/>
  <c r="I1376" i="14"/>
  <c r="I1377" i="14"/>
  <c r="I1378" i="14"/>
  <c r="I1379" i="14"/>
  <c r="I1380" i="14"/>
  <c r="I1381" i="14"/>
  <c r="I1382" i="14"/>
  <c r="I1383" i="14"/>
  <c r="I1384" i="14"/>
  <c r="I1385" i="14"/>
  <c r="I1386" i="14"/>
  <c r="I1387" i="14"/>
  <c r="I1388" i="14"/>
  <c r="I1389" i="14"/>
  <c r="I1390" i="14"/>
  <c r="I1391" i="14"/>
  <c r="I1392" i="14"/>
  <c r="I1393" i="14"/>
  <c r="I1394" i="14"/>
  <c r="I1395" i="14"/>
  <c r="I1396" i="14"/>
  <c r="I1397" i="14"/>
  <c r="I1398" i="14"/>
  <c r="I1399" i="14"/>
  <c r="I1400" i="14"/>
  <c r="I1401" i="14"/>
  <c r="I1402" i="14"/>
  <c r="I1403" i="14"/>
  <c r="I1404" i="14"/>
  <c r="I1405" i="14"/>
  <c r="I1406" i="14"/>
  <c r="I1407" i="14"/>
  <c r="I1408" i="14"/>
  <c r="I1409" i="14"/>
  <c r="I1410" i="14"/>
  <c r="I1411" i="14"/>
  <c r="I1412" i="14"/>
  <c r="I1413" i="14"/>
  <c r="I1414" i="14"/>
  <c r="I1415" i="14"/>
  <c r="I1416" i="14"/>
  <c r="I1417" i="14"/>
  <c r="I1418" i="14"/>
  <c r="I1419" i="14"/>
  <c r="I1420" i="14"/>
  <c r="I1421" i="14"/>
  <c r="I1422" i="14"/>
  <c r="I1423" i="14"/>
  <c r="I1424" i="14"/>
  <c r="I1425" i="14"/>
  <c r="I1426" i="14"/>
  <c r="I1427" i="14"/>
  <c r="I1428" i="14"/>
  <c r="I1429" i="14"/>
  <c r="I1430" i="14"/>
  <c r="I1431" i="14"/>
  <c r="I1432" i="14"/>
  <c r="I1433" i="14"/>
  <c r="I1434" i="14"/>
  <c r="I1435" i="14"/>
  <c r="I1436" i="14"/>
  <c r="I1437" i="14"/>
  <c r="I1438" i="14"/>
  <c r="I1439" i="14"/>
  <c r="I1440" i="14"/>
  <c r="I1441" i="14"/>
  <c r="I1442" i="14"/>
  <c r="I1443" i="14"/>
  <c r="I1444" i="14"/>
  <c r="I1445" i="14"/>
  <c r="I1446" i="14"/>
  <c r="I1447" i="14"/>
  <c r="I1448" i="14"/>
  <c r="I1449" i="14"/>
  <c r="I1450" i="14"/>
  <c r="I1451" i="14"/>
  <c r="I1452" i="14"/>
  <c r="I1453" i="14"/>
  <c r="I1454" i="14"/>
  <c r="I1455" i="14"/>
  <c r="I1456" i="14"/>
  <c r="I1457" i="14"/>
  <c r="I1458" i="14"/>
  <c r="I1459" i="14"/>
  <c r="I1460" i="14"/>
  <c r="I1461" i="14"/>
  <c r="I1462" i="14"/>
  <c r="I1463" i="14"/>
  <c r="I1464" i="14"/>
  <c r="I1465" i="14"/>
  <c r="I1466" i="14"/>
  <c r="I1467" i="14"/>
  <c r="I1468" i="14"/>
  <c r="I1469" i="14"/>
  <c r="I1470" i="14"/>
  <c r="I1471" i="14"/>
  <c r="I1472" i="14"/>
  <c r="I1473" i="14"/>
  <c r="I1474" i="14"/>
  <c r="I1475" i="14"/>
  <c r="I1476" i="14"/>
  <c r="I1477" i="14"/>
  <c r="I1478" i="14"/>
  <c r="I1479" i="14"/>
  <c r="I1480" i="14"/>
  <c r="I1481" i="14"/>
  <c r="I1482" i="14"/>
  <c r="I1483" i="14"/>
  <c r="I1484" i="14"/>
  <c r="I1485" i="14"/>
  <c r="I1486" i="14"/>
  <c r="I1487" i="14"/>
  <c r="I1488" i="14"/>
  <c r="I1489" i="14"/>
  <c r="I1490" i="14"/>
  <c r="I1491" i="14"/>
  <c r="I1492" i="14"/>
  <c r="I1493" i="14"/>
  <c r="I1494" i="14"/>
  <c r="I1495" i="14"/>
  <c r="I1496" i="14"/>
  <c r="I1497" i="14"/>
  <c r="I1498" i="14"/>
  <c r="I1499" i="14"/>
  <c r="I1500" i="14"/>
  <c r="I1501" i="14"/>
  <c r="I1502" i="14"/>
  <c r="I1503" i="14"/>
  <c r="I1504" i="14"/>
  <c r="I1505" i="14"/>
  <c r="I1506" i="14"/>
  <c r="I1507" i="14"/>
  <c r="I1508" i="14"/>
  <c r="I1509" i="14"/>
  <c r="I1510" i="14"/>
  <c r="I1511" i="14"/>
  <c r="I1512" i="14"/>
  <c r="I1513" i="14"/>
  <c r="I1514" i="14"/>
  <c r="I1515" i="14"/>
  <c r="I1516" i="14"/>
  <c r="I1517" i="14"/>
  <c r="I1518" i="14"/>
  <c r="I1519" i="14"/>
  <c r="I1520" i="14"/>
  <c r="I1521" i="14"/>
  <c r="I1522" i="14"/>
  <c r="I1523" i="14"/>
  <c r="I1524" i="14"/>
  <c r="I1525" i="14"/>
  <c r="I1526" i="14"/>
  <c r="I1527" i="14"/>
  <c r="I1528" i="14"/>
  <c r="I1529" i="14"/>
  <c r="I1530" i="14"/>
  <c r="I1531" i="14"/>
  <c r="I1532" i="14"/>
  <c r="I1533" i="14"/>
  <c r="I1534" i="14"/>
  <c r="I1535" i="14"/>
  <c r="I1536" i="14"/>
  <c r="I1537" i="14"/>
  <c r="I1538" i="14"/>
  <c r="I1539" i="14"/>
  <c r="I1540" i="14"/>
  <c r="I1541" i="14"/>
  <c r="I1542" i="14"/>
  <c r="I1543" i="14"/>
  <c r="I1544" i="14"/>
  <c r="I1545" i="14"/>
  <c r="I1546" i="14"/>
  <c r="I1547" i="14"/>
  <c r="I1548" i="14"/>
  <c r="I1549" i="14"/>
  <c r="I1550" i="14"/>
  <c r="I1551" i="14"/>
  <c r="I1552" i="14"/>
  <c r="I1553" i="14"/>
  <c r="I1554" i="14"/>
  <c r="I1555" i="14"/>
  <c r="I1556" i="14"/>
  <c r="I1557" i="14"/>
  <c r="I1558" i="14"/>
  <c r="I1559" i="14"/>
  <c r="I1560" i="14"/>
  <c r="I1561" i="14"/>
  <c r="I1562" i="14"/>
  <c r="I1563" i="14"/>
  <c r="I1564" i="14"/>
  <c r="I1565" i="14"/>
  <c r="I1566" i="14"/>
  <c r="I1567" i="14"/>
  <c r="I1568" i="14"/>
  <c r="I1569" i="14"/>
  <c r="I1570" i="14"/>
  <c r="I1571" i="14"/>
  <c r="I1572" i="14"/>
  <c r="I1573" i="14"/>
  <c r="I1574" i="14"/>
  <c r="I1575" i="14"/>
  <c r="I1576" i="14"/>
  <c r="I1577" i="14"/>
  <c r="I1578" i="14"/>
  <c r="I1579" i="14"/>
  <c r="I1580" i="14"/>
  <c r="I1581" i="14"/>
  <c r="I1582" i="14"/>
  <c r="I1583" i="14"/>
  <c r="I1584" i="14"/>
  <c r="I1585" i="14"/>
  <c r="I1586" i="14"/>
  <c r="I1587" i="14"/>
  <c r="I1588" i="14"/>
  <c r="I1589" i="14"/>
  <c r="I1590" i="14"/>
  <c r="I1591" i="14"/>
  <c r="I1592" i="14"/>
  <c r="I1593" i="14"/>
  <c r="I1594" i="14"/>
  <c r="I1595" i="14"/>
  <c r="I1596" i="14"/>
  <c r="I1597" i="14"/>
  <c r="I1598" i="14"/>
  <c r="I1599" i="14"/>
  <c r="I1600" i="14"/>
  <c r="I1601" i="14"/>
  <c r="I1602" i="14"/>
  <c r="I1603" i="14"/>
  <c r="I1604" i="14"/>
  <c r="I1605" i="14"/>
  <c r="I1606" i="14"/>
  <c r="I1607" i="14"/>
  <c r="I1608" i="14"/>
  <c r="I1609" i="14"/>
  <c r="I1610" i="14"/>
  <c r="I1611" i="14"/>
  <c r="I1612" i="14"/>
  <c r="I1613" i="14"/>
  <c r="I1614" i="14"/>
  <c r="I1615" i="14"/>
  <c r="I1616" i="14"/>
  <c r="I1617" i="14"/>
  <c r="I1618" i="14"/>
  <c r="I1619" i="14"/>
  <c r="I1620" i="14"/>
  <c r="I1621" i="14"/>
  <c r="I1622" i="14"/>
  <c r="I1623" i="14"/>
  <c r="I1624" i="14"/>
  <c r="I1625" i="14"/>
  <c r="I1626" i="14"/>
  <c r="I1627" i="14"/>
  <c r="I1628" i="14"/>
  <c r="I1629" i="14"/>
  <c r="I1630" i="14"/>
  <c r="I1631" i="14"/>
  <c r="I1632" i="14"/>
  <c r="I1633" i="14"/>
  <c r="I1634" i="14"/>
  <c r="I1635" i="14"/>
  <c r="I1636" i="14"/>
  <c r="I1637" i="14"/>
  <c r="I1638" i="14"/>
  <c r="I1639" i="14"/>
  <c r="I1640" i="14"/>
  <c r="I1641" i="14"/>
  <c r="I1642" i="14"/>
  <c r="I1643" i="14"/>
  <c r="I1644" i="14"/>
  <c r="I1645" i="14"/>
  <c r="I1646" i="14"/>
  <c r="I1647" i="14"/>
  <c r="I1648" i="14"/>
  <c r="I1649" i="14"/>
  <c r="I1650" i="14"/>
  <c r="I1651" i="14"/>
  <c r="I1652" i="14"/>
  <c r="I1653" i="14"/>
  <c r="I1654" i="14"/>
  <c r="I1655" i="14"/>
  <c r="I1656" i="14"/>
  <c r="I1657" i="14"/>
  <c r="I1658" i="14"/>
  <c r="I1659" i="14"/>
  <c r="I1660" i="14"/>
  <c r="I1661" i="14"/>
  <c r="I1662" i="14"/>
  <c r="I1663" i="14"/>
  <c r="I1664" i="14"/>
  <c r="I1665" i="14"/>
  <c r="I1666" i="14"/>
  <c r="I1667" i="14"/>
  <c r="I1668" i="14"/>
  <c r="I1669" i="14"/>
  <c r="I1670" i="14"/>
  <c r="I1671" i="14"/>
  <c r="I1672" i="14"/>
  <c r="I1673" i="14"/>
  <c r="I1674" i="14"/>
  <c r="I1675" i="14"/>
  <c r="I1676" i="14"/>
  <c r="I1677" i="14"/>
  <c r="I1678" i="14"/>
  <c r="I1679" i="14"/>
  <c r="I1680" i="14"/>
  <c r="I1681" i="14"/>
  <c r="I1682" i="14"/>
  <c r="I1683" i="14"/>
  <c r="I1684" i="14"/>
  <c r="I1685" i="14"/>
  <c r="I1686" i="14"/>
  <c r="I1687" i="14"/>
  <c r="I1688" i="14"/>
  <c r="I1689" i="14"/>
  <c r="I1690" i="14"/>
  <c r="I1691" i="14"/>
  <c r="I1692" i="14"/>
  <c r="I1693" i="14"/>
  <c r="I1694" i="14"/>
  <c r="I1695" i="14"/>
  <c r="I1696" i="14"/>
  <c r="I1697" i="14"/>
  <c r="I1698" i="14"/>
  <c r="I1699" i="14"/>
  <c r="I1700" i="14"/>
  <c r="I1701" i="14"/>
  <c r="I1702" i="14"/>
  <c r="I1703" i="14"/>
  <c r="I1704" i="14"/>
  <c r="I1705" i="14"/>
  <c r="I1706" i="14"/>
  <c r="I1707" i="14"/>
  <c r="I1708" i="14"/>
  <c r="I1709" i="14"/>
  <c r="I1710" i="14"/>
  <c r="I1711" i="14"/>
  <c r="I1712" i="14"/>
  <c r="I1713" i="14"/>
  <c r="I1714" i="14"/>
  <c r="I1715" i="14"/>
  <c r="I1716" i="14"/>
  <c r="I1717" i="14"/>
  <c r="I1718" i="14"/>
  <c r="I1719" i="14"/>
  <c r="I1720" i="14"/>
  <c r="I1721" i="14"/>
  <c r="I1722" i="14"/>
  <c r="I1723" i="14"/>
  <c r="I1724" i="14"/>
  <c r="I1725" i="14"/>
  <c r="I1726" i="14"/>
  <c r="I1727" i="14"/>
  <c r="I1728" i="14"/>
  <c r="I1729" i="14"/>
  <c r="I1730" i="14"/>
  <c r="I1731" i="14"/>
  <c r="I1732" i="14"/>
  <c r="I1733" i="14"/>
  <c r="I1734" i="14"/>
  <c r="I1735" i="14"/>
  <c r="I1736" i="14"/>
  <c r="I1737" i="14"/>
  <c r="I1738" i="14"/>
  <c r="I1739" i="14"/>
  <c r="I1740" i="14"/>
  <c r="I1741" i="14"/>
  <c r="I1742" i="14"/>
  <c r="I1743" i="14"/>
  <c r="I1744" i="14"/>
  <c r="I1745" i="14"/>
  <c r="I1746" i="14"/>
  <c r="I1747" i="14"/>
  <c r="I1748" i="14"/>
  <c r="I1749" i="14"/>
  <c r="I1750" i="14"/>
  <c r="I1751" i="14"/>
  <c r="I1752" i="14"/>
  <c r="I1753" i="14"/>
  <c r="I1754" i="14"/>
  <c r="I1755" i="14"/>
  <c r="I1756" i="14"/>
  <c r="I1757" i="14"/>
  <c r="I1758" i="14"/>
  <c r="I1759" i="14"/>
  <c r="I1760" i="14"/>
  <c r="I1761" i="14"/>
  <c r="I1762" i="14"/>
  <c r="I1763" i="14"/>
  <c r="I1764" i="14"/>
  <c r="I1765" i="14"/>
  <c r="I1766" i="14"/>
  <c r="I1767" i="14"/>
  <c r="I1768" i="14"/>
  <c r="I1769" i="14"/>
  <c r="I1770" i="14"/>
  <c r="I1771" i="14"/>
  <c r="I1772" i="14"/>
  <c r="I1773" i="14"/>
  <c r="I1774" i="14"/>
  <c r="I1775" i="14"/>
  <c r="I1776" i="14"/>
  <c r="I1777" i="14"/>
  <c r="I1778" i="14"/>
  <c r="I1779" i="14"/>
  <c r="I1780" i="14"/>
  <c r="I1781" i="14"/>
  <c r="I1782" i="14"/>
  <c r="I1783" i="14"/>
  <c r="I1784" i="14"/>
  <c r="I1785" i="14"/>
  <c r="I1786" i="14"/>
  <c r="I1787" i="14"/>
  <c r="I1788" i="14"/>
  <c r="I1789" i="14"/>
  <c r="I1790" i="14"/>
  <c r="I1791" i="14"/>
  <c r="I1792" i="14"/>
  <c r="I1793" i="14"/>
  <c r="I1794" i="14"/>
  <c r="I1795" i="14"/>
  <c r="I1796" i="14"/>
  <c r="I1797" i="14"/>
  <c r="I1798" i="14"/>
  <c r="I1799" i="14"/>
  <c r="I1800" i="14"/>
  <c r="I1801" i="14"/>
  <c r="I1802" i="14"/>
  <c r="I1803" i="14"/>
  <c r="I1804" i="14"/>
  <c r="I1805" i="14"/>
  <c r="I1806" i="14"/>
  <c r="I1807" i="14"/>
  <c r="I1808" i="14"/>
  <c r="I1809" i="14"/>
  <c r="I1810" i="14"/>
  <c r="I1811" i="14"/>
  <c r="I1812" i="14"/>
  <c r="I1813" i="14"/>
  <c r="I1814" i="14"/>
  <c r="I1815" i="14"/>
  <c r="I1816" i="14"/>
  <c r="I1817" i="14"/>
  <c r="I1818" i="14"/>
  <c r="I1819" i="14"/>
  <c r="I1820" i="14"/>
  <c r="I1821" i="14"/>
  <c r="I1822" i="14"/>
  <c r="I1823" i="14"/>
  <c r="I1824" i="14"/>
  <c r="I1825" i="14"/>
  <c r="I1826" i="14"/>
  <c r="I1827" i="14"/>
  <c r="I1828" i="14"/>
  <c r="I1829" i="14"/>
  <c r="I1830" i="14"/>
  <c r="I1831" i="14"/>
  <c r="I1832" i="14"/>
  <c r="I1833" i="14"/>
  <c r="I1834" i="14"/>
  <c r="I1835" i="14"/>
  <c r="I1836" i="14"/>
  <c r="I1837" i="14"/>
  <c r="I1838" i="14"/>
  <c r="I1839" i="14"/>
  <c r="I1840" i="14"/>
  <c r="I1841" i="14"/>
  <c r="I1842" i="14"/>
  <c r="I1843" i="14"/>
  <c r="I1844" i="14"/>
  <c r="I1845" i="14"/>
  <c r="I1846" i="14"/>
  <c r="I1847" i="14"/>
  <c r="I1848" i="14"/>
  <c r="I1849" i="14"/>
  <c r="I1850" i="14"/>
  <c r="I1851" i="14"/>
  <c r="I1852" i="14"/>
  <c r="I1853" i="14"/>
  <c r="I1854" i="14"/>
  <c r="I1855" i="14"/>
  <c r="I1856" i="14"/>
  <c r="I1857" i="14"/>
  <c r="I1858" i="14"/>
  <c r="I1859" i="14"/>
  <c r="I1860" i="14"/>
  <c r="I1861" i="14"/>
  <c r="I1862" i="14"/>
  <c r="I1863" i="14"/>
  <c r="I1864" i="14"/>
  <c r="I1865" i="14"/>
  <c r="I1866" i="14"/>
  <c r="I1867" i="14"/>
  <c r="I1868" i="14"/>
  <c r="I1869" i="14"/>
  <c r="I1870" i="14"/>
  <c r="I1871" i="14"/>
  <c r="I1872" i="14"/>
  <c r="I1873" i="14"/>
  <c r="I1874" i="14"/>
  <c r="I1875" i="14"/>
  <c r="I1876" i="14"/>
  <c r="I1877" i="14"/>
  <c r="I1878" i="14"/>
  <c r="I1879" i="14"/>
  <c r="I1880" i="14"/>
  <c r="I1881" i="14"/>
  <c r="I1882" i="14"/>
  <c r="I1883" i="14"/>
  <c r="I1884" i="14"/>
  <c r="I1885" i="14"/>
  <c r="I1886" i="14"/>
  <c r="I1887" i="14"/>
  <c r="I1888" i="14"/>
  <c r="I1889" i="14"/>
  <c r="I1890" i="14"/>
  <c r="I1891" i="14"/>
  <c r="I1892" i="14"/>
  <c r="I1893" i="14"/>
  <c r="I1894" i="14"/>
  <c r="I1895" i="14"/>
  <c r="I1896" i="14"/>
  <c r="I1897" i="14"/>
  <c r="I1898" i="14"/>
  <c r="I1899" i="14"/>
  <c r="I1900" i="14"/>
  <c r="I1901" i="14"/>
  <c r="I1902" i="14"/>
  <c r="I1903" i="14"/>
  <c r="I1904" i="14"/>
  <c r="I1905" i="14"/>
  <c r="I1906" i="14"/>
  <c r="I1907" i="14"/>
  <c r="I1908" i="14"/>
  <c r="I1909" i="14"/>
  <c r="I1910" i="14"/>
  <c r="I1911" i="14"/>
  <c r="I1912" i="14"/>
  <c r="I1913" i="14"/>
  <c r="I1914" i="14"/>
  <c r="I1915" i="14"/>
  <c r="I1916" i="14"/>
  <c r="I1917" i="14"/>
  <c r="I1918" i="14"/>
  <c r="I1919" i="14"/>
  <c r="I1920" i="14"/>
  <c r="I1921" i="14"/>
  <c r="I1922" i="14"/>
  <c r="I1923" i="14"/>
  <c r="I1924" i="14"/>
  <c r="I1925" i="14"/>
  <c r="I1926" i="14"/>
  <c r="I1927" i="14"/>
  <c r="I1928" i="14"/>
  <c r="I1929" i="14"/>
  <c r="I1930" i="14"/>
  <c r="I2" i="14"/>
  <c r="H11" i="14"/>
  <c r="H10" i="14"/>
  <c r="H9" i="14"/>
  <c r="H8" i="14"/>
  <c r="H6" i="14"/>
  <c r="H4" i="14"/>
  <c r="H5" i="14"/>
  <c r="H3" i="14" s="1"/>
  <c r="H2" i="14"/>
  <c r="B24" i="14"/>
  <c r="B29" i="14"/>
  <c r="B28" i="14"/>
  <c r="B25" i="14"/>
  <c r="B26" i="14"/>
  <c r="B27" i="14"/>
  <c r="H13" i="14"/>
  <c r="B5" i="13"/>
  <c r="B6" i="13"/>
  <c r="B7" i="13" s="1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H11" i="4"/>
  <c r="H13" i="4" s="1"/>
  <c r="B5" i="12"/>
  <c r="B4" i="12"/>
  <c r="B3" i="12"/>
  <c r="B6" i="11"/>
  <c r="B7" i="11" s="1"/>
  <c r="B8" i="11" s="1"/>
  <c r="B9" i="11" s="1"/>
  <c r="H2" i="4"/>
  <c r="H5" i="4"/>
  <c r="H4" i="4"/>
  <c r="A8" i="3"/>
  <c r="B20" i="10"/>
  <c r="E12" i="10"/>
  <c r="F4" i="10"/>
  <c r="F5" i="10"/>
  <c r="F6" i="10" s="1"/>
  <c r="E5" i="10"/>
  <c r="E6" i="10"/>
  <c r="B16" i="10"/>
  <c r="A8" i="9"/>
  <c r="G4" i="9" s="1"/>
  <c r="B4" i="9"/>
  <c r="B5" i="9"/>
  <c r="B6" i="9"/>
  <c r="C26" i="7"/>
  <c r="D26" i="7"/>
  <c r="E26" i="7"/>
  <c r="C25" i="7"/>
  <c r="D25" i="7" s="1"/>
  <c r="E25" i="7" s="1"/>
  <c r="C24" i="7"/>
  <c r="D24" i="7" s="1"/>
  <c r="E24" i="7" s="1"/>
  <c r="C23" i="7"/>
  <c r="D23" i="7"/>
  <c r="E23" i="7"/>
  <c r="C22" i="7"/>
  <c r="D22" i="7" s="1"/>
  <c r="E22" i="7" s="1"/>
  <c r="C21" i="7"/>
  <c r="D21" i="7"/>
  <c r="E21" i="7"/>
  <c r="C20" i="7"/>
  <c r="D20" i="7"/>
  <c r="E20" i="7" s="1"/>
  <c r="C19" i="7"/>
  <c r="D19" i="7"/>
  <c r="E19" i="7" s="1"/>
  <c r="C18" i="7"/>
  <c r="D18" i="7"/>
  <c r="E18" i="7"/>
  <c r="C17" i="7"/>
  <c r="D17" i="7" s="1"/>
  <c r="E17" i="7" s="1"/>
  <c r="C16" i="7"/>
  <c r="D16" i="7" s="1"/>
  <c r="E16" i="7" s="1"/>
  <c r="C15" i="7"/>
  <c r="D15" i="7"/>
  <c r="E15" i="7"/>
  <c r="C14" i="7"/>
  <c r="D14" i="7" s="1"/>
  <c r="E14" i="7" s="1"/>
  <c r="C13" i="7"/>
  <c r="D13" i="7"/>
  <c r="E13" i="7"/>
  <c r="C12" i="7"/>
  <c r="D12" i="7"/>
  <c r="E12" i="7" s="1"/>
  <c r="C11" i="7"/>
  <c r="D11" i="7"/>
  <c r="E11" i="7" s="1"/>
  <c r="C10" i="7"/>
  <c r="D10" i="7"/>
  <c r="E10" i="7"/>
  <c r="C9" i="7"/>
  <c r="D9" i="7" s="1"/>
  <c r="E9" i="7" s="1"/>
  <c r="C8" i="7"/>
  <c r="D8" i="7" s="1"/>
  <c r="E8" i="7" s="1"/>
  <c r="C7" i="7"/>
  <c r="D7" i="7"/>
  <c r="E7" i="7"/>
  <c r="E1" i="7"/>
  <c r="B26" i="6"/>
  <c r="C26" i="6" s="1"/>
  <c r="D26" i="6" s="1"/>
  <c r="E26" i="6" s="1"/>
  <c r="B25" i="6"/>
  <c r="C25" i="6" s="1"/>
  <c r="D25" i="6" s="1"/>
  <c r="E25" i="6" s="1"/>
  <c r="B24" i="6"/>
  <c r="C24" i="6" s="1"/>
  <c r="D24" i="6" s="1"/>
  <c r="E24" i="6" s="1"/>
  <c r="B23" i="6"/>
  <c r="C23" i="6" s="1"/>
  <c r="D23" i="6" s="1"/>
  <c r="E23" i="6" s="1"/>
  <c r="B22" i="6"/>
  <c r="C22" i="6" s="1"/>
  <c r="D22" i="6" s="1"/>
  <c r="E22" i="6" s="1"/>
  <c r="B21" i="6"/>
  <c r="C21" i="6" s="1"/>
  <c r="D21" i="6" s="1"/>
  <c r="E21" i="6" s="1"/>
  <c r="B20" i="6"/>
  <c r="C20" i="6" s="1"/>
  <c r="D20" i="6" s="1"/>
  <c r="E20" i="6" s="1"/>
  <c r="B19" i="6"/>
  <c r="C19" i="6" s="1"/>
  <c r="D19" i="6" s="1"/>
  <c r="E19" i="6" s="1"/>
  <c r="B18" i="6"/>
  <c r="C18" i="6" s="1"/>
  <c r="D18" i="6" s="1"/>
  <c r="E18" i="6" s="1"/>
  <c r="B17" i="6"/>
  <c r="C17" i="6" s="1"/>
  <c r="D17" i="6" s="1"/>
  <c r="E17" i="6" s="1"/>
  <c r="B16" i="6"/>
  <c r="C16" i="6" s="1"/>
  <c r="D16" i="6" s="1"/>
  <c r="E16" i="6" s="1"/>
  <c r="B15" i="6"/>
  <c r="C15" i="6" s="1"/>
  <c r="D15" i="6" s="1"/>
  <c r="E15" i="6" s="1"/>
  <c r="B14" i="6"/>
  <c r="C14" i="6" s="1"/>
  <c r="D14" i="6" s="1"/>
  <c r="E14" i="6" s="1"/>
  <c r="B13" i="6"/>
  <c r="C13" i="6" s="1"/>
  <c r="D13" i="6" s="1"/>
  <c r="E13" i="6" s="1"/>
  <c r="B12" i="6"/>
  <c r="C12" i="6" s="1"/>
  <c r="D12" i="6" s="1"/>
  <c r="E12" i="6" s="1"/>
  <c r="B11" i="6"/>
  <c r="C11" i="6" s="1"/>
  <c r="D11" i="6" s="1"/>
  <c r="E11" i="6" s="1"/>
  <c r="B10" i="6"/>
  <c r="C10" i="6" s="1"/>
  <c r="D10" i="6" s="1"/>
  <c r="E10" i="6" s="1"/>
  <c r="B9" i="6"/>
  <c r="C9" i="6" s="1"/>
  <c r="D9" i="6" s="1"/>
  <c r="E9" i="6" s="1"/>
  <c r="B8" i="6"/>
  <c r="C8" i="6" s="1"/>
  <c r="D8" i="6" s="1"/>
  <c r="E8" i="6" s="1"/>
  <c r="B7" i="6"/>
  <c r="C7" i="6" s="1"/>
  <c r="D7" i="6" s="1"/>
  <c r="E7" i="6" s="1"/>
  <c r="E1" i="6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D10" i="2"/>
  <c r="H10" i="4"/>
  <c r="H9" i="4"/>
  <c r="H8" i="4"/>
  <c r="H6" i="4"/>
  <c r="H7" i="4"/>
  <c r="B24" i="4"/>
  <c r="B29" i="4"/>
  <c r="B28" i="4"/>
  <c r="B25" i="4"/>
  <c r="B26" i="4"/>
  <c r="B27" i="4"/>
  <c r="B4" i="3"/>
  <c r="B5" i="3"/>
  <c r="B6" i="3"/>
  <c r="D18" i="2"/>
  <c r="D20" i="2"/>
  <c r="D16" i="2"/>
  <c r="D14" i="2"/>
  <c r="C23" i="2"/>
  <c r="D23" i="2" s="1"/>
  <c r="B23" i="2"/>
  <c r="D12" i="2"/>
  <c r="D8" i="2"/>
  <c r="D25" i="2"/>
  <c r="D6" i="2"/>
  <c r="D4" i="2"/>
  <c r="D2" i="2"/>
  <c r="E6" i="1"/>
  <c r="E7" i="1"/>
  <c r="E8" i="1"/>
  <c r="E9" i="1"/>
  <c r="E10" i="1"/>
  <c r="E11" i="1"/>
  <c r="E12" i="1"/>
  <c r="E13" i="1"/>
  <c r="E14" i="1"/>
  <c r="E5" i="1"/>
  <c r="D6" i="1"/>
  <c r="D7" i="1"/>
  <c r="D8" i="1"/>
  <c r="D9" i="1"/>
  <c r="D10" i="1"/>
  <c r="D11" i="1"/>
  <c r="D12" i="1"/>
  <c r="D13" i="1"/>
  <c r="D14" i="1"/>
  <c r="D5" i="1"/>
  <c r="C6" i="1"/>
  <c r="C7" i="1"/>
  <c r="C8" i="1"/>
  <c r="C9" i="1"/>
  <c r="C10" i="1"/>
  <c r="C11" i="1"/>
  <c r="C12" i="1"/>
  <c r="C13" i="1"/>
  <c r="C14" i="1"/>
  <c r="C5" i="1"/>
  <c r="B6" i="1"/>
  <c r="B7" i="1"/>
  <c r="B8" i="1"/>
  <c r="B9" i="1"/>
  <c r="B10" i="1"/>
  <c r="B11" i="1"/>
  <c r="B12" i="1"/>
  <c r="B13" i="1"/>
  <c r="B14" i="1"/>
  <c r="B5" i="1"/>
  <c r="I9" i="4" l="1"/>
  <c r="I8" i="4"/>
  <c r="I7" i="4" s="1"/>
  <c r="I11" i="14"/>
  <c r="I13" i="14" s="1"/>
  <c r="H7" i="14"/>
  <c r="I10" i="14"/>
  <c r="H14" i="14"/>
  <c r="H15" i="14" s="1"/>
  <c r="I6" i="14"/>
  <c r="I5" i="14"/>
  <c r="I3" i="14" s="1"/>
  <c r="I5" i="4"/>
  <c r="H3" i="4"/>
  <c r="H14" i="4" s="1"/>
  <c r="H15" i="4" s="1"/>
  <c r="I11" i="4"/>
  <c r="I13" i="4" s="1"/>
  <c r="I2" i="4"/>
  <c r="B30" i="4"/>
  <c r="B31" i="14"/>
  <c r="E4" i="7"/>
  <c r="E4" i="6"/>
  <c r="F7" i="10"/>
  <c r="E7" i="10"/>
  <c r="E13" i="10" s="1"/>
  <c r="B11" i="10" s="1"/>
  <c r="B32" i="4"/>
  <c r="I6" i="4"/>
  <c r="I8" i="14"/>
  <c r="B30" i="14"/>
  <c r="I9" i="14"/>
  <c r="B31" i="4"/>
  <c r="I4" i="4"/>
  <c r="B32" i="14"/>
  <c r="I4" i="14"/>
  <c r="I10" i="4"/>
  <c r="H16" i="4" l="1"/>
  <c r="I14" i="14"/>
  <c r="I16" i="14" s="1"/>
  <c r="H16" i="14"/>
  <c r="I3" i="4"/>
  <c r="I14" i="4" s="1"/>
  <c r="B33" i="14"/>
  <c r="H19" i="14" s="1"/>
  <c r="B12" i="10"/>
  <c r="B14" i="10" s="1"/>
  <c r="B13" i="10"/>
  <c r="B15" i="10" s="1"/>
  <c r="I7" i="14"/>
  <c r="E8" i="10"/>
  <c r="F8" i="10"/>
  <c r="B33" i="4"/>
  <c r="H19" i="4" s="1"/>
  <c r="I15" i="14"/>
  <c r="I16" i="4" l="1"/>
  <c r="I15" i="4"/>
  <c r="E9" i="10"/>
  <c r="F9" i="10"/>
  <c r="B17" i="10"/>
  <c r="B23" i="10" s="1"/>
  <c r="F10" i="10" l="1"/>
  <c r="E10" i="10"/>
</calcChain>
</file>

<file path=xl/sharedStrings.xml><?xml version="1.0" encoding="utf-8"?>
<sst xmlns="http://schemas.openxmlformats.org/spreadsheetml/2006/main" count="234" uniqueCount="129">
  <si>
    <t>U(0,1)</t>
  </si>
  <si>
    <t>p=</t>
  </si>
  <si>
    <t>Bernoulli(p)</t>
  </si>
  <si>
    <t>Uniform(0,1)</t>
  </si>
  <si>
    <t>Geometric(p)</t>
  </si>
  <si>
    <t>Exponential(mean)</t>
  </si>
  <si>
    <t>Weibull(scale, shape)</t>
  </si>
  <si>
    <t>Beta(alpha1, alpha2)</t>
  </si>
  <si>
    <t>ChiSquare</t>
  </si>
  <si>
    <t>Gamma(scale,shape)</t>
  </si>
  <si>
    <t>min</t>
  </si>
  <si>
    <t>max</t>
  </si>
  <si>
    <t>Discrete Uniform(min,max)</t>
  </si>
  <si>
    <t>Uniform(min,max)</t>
  </si>
  <si>
    <t>p</t>
  </si>
  <si>
    <t>Formula</t>
  </si>
  <si>
    <t>=B7+(C7-B7)*RAND()</t>
  </si>
  <si>
    <t>=RAND()</t>
  </si>
  <si>
    <t>=RANDBETWEEN(B5,C5)</t>
  </si>
  <si>
    <t>=IF(RAND()&lt;=C9,1,0)</t>
  </si>
  <si>
    <t>mean</t>
  </si>
  <si>
    <t>=-C13*LN(1-RAND())</t>
  </si>
  <si>
    <t>std dev</t>
  </si>
  <si>
    <t>=NORMINV(RAND(),B25,C25)</t>
  </si>
  <si>
    <t>Lognormal(mean, std dev)</t>
  </si>
  <si>
    <t>Normal(mean, std dev)</t>
  </si>
  <si>
    <t>scale</t>
  </si>
  <si>
    <t>shape</t>
  </si>
  <si>
    <t>=B15*POWER(-LN(1-RAND()),1/C15)</t>
  </si>
  <si>
    <t>=BETAINV(RAND(),B17,C17)</t>
  </si>
  <si>
    <t>alpha1</t>
  </si>
  <si>
    <t>alpha2</t>
  </si>
  <si>
    <t>=GAMMAINV(RAND(),C21,B21)</t>
  </si>
  <si>
    <t>DF</t>
  </si>
  <si>
    <t>=CHIINV(RAND(),C19)</t>
  </si>
  <si>
    <t>PMF</t>
  </si>
  <si>
    <t>CDF</t>
  </si>
  <si>
    <t>X</t>
  </si>
  <si>
    <t>LR</t>
  </si>
  <si>
    <t>=VLOOKUP(RAND(),B3:D6,3)</t>
  </si>
  <si>
    <t>min=</t>
  </si>
  <si>
    <t>max=</t>
  </si>
  <si>
    <t>DU(min,max)</t>
  </si>
  <si>
    <t>U(min,max)</t>
  </si>
  <si>
    <t>Inputs</t>
  </si>
  <si>
    <t>Initial Cost</t>
  </si>
  <si>
    <t>Annual Cost</t>
  </si>
  <si>
    <t>Salvage Value</t>
  </si>
  <si>
    <t>Useful Life</t>
  </si>
  <si>
    <t>Life</t>
  </si>
  <si>
    <t>Interest Rate</t>
  </si>
  <si>
    <t>Sample Average</t>
  </si>
  <si>
    <t>Standard Error</t>
  </si>
  <si>
    <t>Median</t>
  </si>
  <si>
    <t>Standard Deviation</t>
  </si>
  <si>
    <t>Sample Variance</t>
  </si>
  <si>
    <t>Range</t>
  </si>
  <si>
    <t>Minimum</t>
  </si>
  <si>
    <t>Maximum</t>
  </si>
  <si>
    <t>Sum</t>
  </si>
  <si>
    <t>Count</t>
  </si>
  <si>
    <t>Alpha</t>
  </si>
  <si>
    <t>T-Value(Alpha/2,n-1)</t>
  </si>
  <si>
    <t>CI Half-Width</t>
  </si>
  <si>
    <t>UL-Confidence Interval</t>
  </si>
  <si>
    <t>LL-Confidence Interval</t>
  </si>
  <si>
    <t>alpha</t>
  </si>
  <si>
    <t>beta</t>
  </si>
  <si>
    <t>PV of Salvage</t>
  </si>
  <si>
    <t>PV of Annual Cost</t>
  </si>
  <si>
    <t>Annual Savings</t>
  </si>
  <si>
    <t>PV of Annual Savings</t>
  </si>
  <si>
    <t>Net Present Value</t>
  </si>
  <si>
    <t>Simulation Data Table</t>
  </si>
  <si>
    <t>NPV</t>
  </si>
  <si>
    <t>=1+INT(LN(1-RAND())/LN(1-C11))</t>
  </si>
  <si>
    <t>x</t>
  </si>
  <si>
    <t>f(x)</t>
  </si>
  <si>
    <t>True Area =</t>
  </si>
  <si>
    <t>Lower Limit   a =</t>
  </si>
  <si>
    <t>Upper Limit b =</t>
  </si>
  <si>
    <t>Average =</t>
  </si>
  <si>
    <t>n</t>
  </si>
  <si>
    <t>X ~ U(a,b)</t>
  </si>
  <si>
    <t>f(X)</t>
  </si>
  <si>
    <t>Y =(b-a)f(X)</t>
  </si>
  <si>
    <t>Data Table for Replications</t>
  </si>
  <si>
    <t>Replication</t>
  </si>
  <si>
    <t>Observation</t>
  </si>
  <si>
    <t>Sly's Convenience Store Example</t>
  </si>
  <si>
    <t>cost per unit c =</t>
  </si>
  <si>
    <t>price per unit s =</t>
  </si>
  <si>
    <t>salvage per unit u =</t>
  </si>
  <si>
    <t>D</t>
  </si>
  <si>
    <t>Demand Distribution</t>
  </si>
  <si>
    <t>Daily Demand</t>
  </si>
  <si>
    <t>Decision Variable</t>
  </si>
  <si>
    <t>Order Quantiy q =</t>
  </si>
  <si>
    <t>Outputs</t>
  </si>
  <si>
    <t>Amount Sold</t>
  </si>
  <si>
    <t>Amount Left Over</t>
  </si>
  <si>
    <t>Sales Revenue</t>
  </si>
  <si>
    <t>Salvage Revenue</t>
  </si>
  <si>
    <t>Ordering Cost</t>
  </si>
  <si>
    <t>Profit</t>
  </si>
  <si>
    <t>u =</t>
  </si>
  <si>
    <t>D =</t>
  </si>
  <si>
    <t>Simulation Summary</t>
  </si>
  <si>
    <t>Data Table</t>
  </si>
  <si>
    <t>Simulation Statistics</t>
  </si>
  <si>
    <t>S</t>
  </si>
  <si>
    <t>bound</t>
  </si>
  <si>
    <t>alpha/2</t>
  </si>
  <si>
    <t>half-width</t>
  </si>
  <si>
    <t>difference</t>
  </si>
  <si>
    <t>df</t>
  </si>
  <si>
    <t>TINV</t>
  </si>
  <si>
    <t>T.INV</t>
  </si>
  <si>
    <t>T.INV.2T</t>
  </si>
  <si>
    <t>=TINV(B2,B1)</t>
  </si>
  <si>
    <t>=T.INV(1-B2,B1)</t>
  </si>
  <si>
    <t>=T.INV.2T(B2,B1)</t>
  </si>
  <si>
    <t>t-alpha/2</t>
  </si>
  <si>
    <t>P(NPV &lt; 0)</t>
  </si>
  <si>
    <t>=IF(H20&lt;0,1,0)</t>
  </si>
  <si>
    <t>Sample Size</t>
  </si>
  <si>
    <t>z-alpha/2</t>
  </si>
  <si>
    <t>Desired bound</t>
  </si>
  <si>
    <t>=LOGINV(RAND(),B23,C23)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</si>
</sst>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"/>
  </numFmts>
  <fonts count="9" x14ac:knownFonts="1"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u/>
      <sz val="10"/>
      <color theme="10"/>
      <name val="Arial"/>
    </font>
    <font>
      <u/>
      <sz val="10"/>
      <color theme="11"/>
      <name val="Arial"/>
    </font>
    <font>
      <sz val="9"/>
      <name val="Courier New"/>
      <family val="3"/>
    </font>
    <font>
      <sz val="10"/>
      <name val="Verdana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25">
    <xf numFmtId="0" fontId="0" fillId="0" borderId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8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1" xfId="0" applyFont="1" applyBorder="1" applyAlignment="1">
      <alignment horizontal="right"/>
    </xf>
    <xf numFmtId="0" fontId="2" fillId="0" borderId="2" xfId="0" applyFont="1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0" xfId="0" applyBorder="1" applyAlignment="1">
      <alignment horizontal="right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0" fontId="2" fillId="0" borderId="6" xfId="0" applyFont="1" applyBorder="1" applyAlignment="1">
      <alignment horizontal="right"/>
    </xf>
    <xf numFmtId="0" fontId="0" fillId="0" borderId="7" xfId="0" applyBorder="1"/>
    <xf numFmtId="0" fontId="2" fillId="0" borderId="8" xfId="0" applyFont="1" applyBorder="1" applyAlignment="1">
      <alignment horizontal="right"/>
    </xf>
    <xf numFmtId="0" fontId="0" fillId="0" borderId="9" xfId="0" applyBorder="1"/>
    <xf numFmtId="0" fontId="2" fillId="0" borderId="10" xfId="0" applyFont="1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2" xfId="0" applyBorder="1" applyAlignment="1">
      <alignment horizontal="right"/>
    </xf>
    <xf numFmtId="0" fontId="0" fillId="0" borderId="13" xfId="0" applyBorder="1"/>
    <xf numFmtId="0" fontId="0" fillId="0" borderId="1" xfId="0" applyBorder="1" applyAlignment="1">
      <alignment horizontal="right"/>
    </xf>
    <xf numFmtId="0" fontId="0" fillId="0" borderId="14" xfId="0" applyBorder="1" applyAlignment="1">
      <alignment horizontal="right"/>
    </xf>
    <xf numFmtId="0" fontId="0" fillId="0" borderId="15" xfId="0" applyBorder="1"/>
    <xf numFmtId="0" fontId="2" fillId="0" borderId="10" xfId="0" quotePrefix="1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0" borderId="13" xfId="0" quotePrefix="1" applyFont="1" applyBorder="1" applyAlignment="1">
      <alignment horizontal="left"/>
    </xf>
    <xf numFmtId="0" fontId="2" fillId="0" borderId="11" xfId="0" quotePrefix="1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3" fillId="0" borderId="5" xfId="0" applyFont="1" applyBorder="1" applyAlignment="1">
      <alignment horizontal="right"/>
    </xf>
    <xf numFmtId="0" fontId="3" fillId="0" borderId="13" xfId="0" applyFont="1" applyBorder="1" applyAlignment="1">
      <alignment horizontal="right"/>
    </xf>
    <xf numFmtId="0" fontId="0" fillId="0" borderId="0" xfId="0" quotePrefix="1"/>
    <xf numFmtId="0" fontId="2" fillId="0" borderId="0" xfId="0" quotePrefix="1" applyFont="1"/>
    <xf numFmtId="0" fontId="2" fillId="0" borderId="0" xfId="0" applyFont="1" applyAlignment="1">
      <alignment horizontal="right"/>
    </xf>
    <xf numFmtId="0" fontId="2" fillId="0" borderId="0" xfId="0" applyFont="1"/>
    <xf numFmtId="164" fontId="0" fillId="0" borderId="0" xfId="0" applyNumberFormat="1"/>
    <xf numFmtId="4" fontId="0" fillId="0" borderId="0" xfId="0" applyNumberFormat="1"/>
    <xf numFmtId="10" fontId="0" fillId="0" borderId="0" xfId="0" applyNumberFormat="1"/>
    <xf numFmtId="0" fontId="2" fillId="0" borderId="0" xfId="0" applyFont="1" applyFill="1" applyBorder="1" applyAlignment="1"/>
    <xf numFmtId="8" fontId="0" fillId="0" borderId="0" xfId="0" applyNumberFormat="1"/>
    <xf numFmtId="0" fontId="4" fillId="0" borderId="0" xfId="1" applyAlignment="1">
      <alignment horizontal="center"/>
    </xf>
    <xf numFmtId="0" fontId="4" fillId="0" borderId="0" xfId="1"/>
    <xf numFmtId="0" fontId="4" fillId="0" borderId="0" xfId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0" fillId="0" borderId="0" xfId="0" applyFont="1" applyAlignment="1">
      <alignment horizontal="right"/>
    </xf>
    <xf numFmtId="0" fontId="7" fillId="0" borderId="0" xfId="0" applyFont="1"/>
    <xf numFmtId="0" fontId="8" fillId="0" borderId="0" xfId="12"/>
  </cellXfs>
  <cellStyles count="25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Normal" xfId="0" builtinId="0"/>
    <cellStyle name="Normal 2" xfId="1" xr:uid="{00000000-0005-0000-0000-000017000000}"/>
    <cellStyle name="Normal 3" xfId="12" xr:uid="{00000000-0005-0000-0000-00001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'Plotting the Function'!$B$1</c:f>
              <c:strCache>
                <c:ptCount val="1"/>
                <c:pt idx="0">
                  <c:v>f(x)</c:v>
                </c:pt>
              </c:strCache>
            </c:strRef>
          </c:tx>
          <c:marker>
            <c:symbol val="none"/>
          </c:marker>
          <c:xVal>
            <c:numRef>
              <c:f>'Plotting the Function'!$A$2:$A$103</c:f>
              <c:numCache>
                <c:formatCode>General</c:formatCode>
                <c:ptCount val="102"/>
                <c:pt idx="0">
                  <c:v>1</c:v>
                </c:pt>
                <c:pt idx="1">
                  <c:v>1.1000000000000001</c:v>
                </c:pt>
                <c:pt idx="2">
                  <c:v>1.2</c:v>
                </c:pt>
                <c:pt idx="3">
                  <c:v>1.3</c:v>
                </c:pt>
                <c:pt idx="4">
                  <c:v>1.4</c:v>
                </c:pt>
                <c:pt idx="5">
                  <c:v>1.5</c:v>
                </c:pt>
                <c:pt idx="6">
                  <c:v>1.6</c:v>
                </c:pt>
                <c:pt idx="7">
                  <c:v>1.7</c:v>
                </c:pt>
                <c:pt idx="8">
                  <c:v>1.8</c:v>
                </c:pt>
                <c:pt idx="9">
                  <c:v>1.9</c:v>
                </c:pt>
                <c:pt idx="10">
                  <c:v>2</c:v>
                </c:pt>
                <c:pt idx="11">
                  <c:v>2.1</c:v>
                </c:pt>
                <c:pt idx="12">
                  <c:v>2.2000000000000002</c:v>
                </c:pt>
                <c:pt idx="13">
                  <c:v>2.2999999999999998</c:v>
                </c:pt>
                <c:pt idx="14">
                  <c:v>2.4</c:v>
                </c:pt>
                <c:pt idx="15">
                  <c:v>2.5</c:v>
                </c:pt>
                <c:pt idx="16">
                  <c:v>2.6</c:v>
                </c:pt>
                <c:pt idx="17">
                  <c:v>2.7</c:v>
                </c:pt>
                <c:pt idx="18">
                  <c:v>2.8</c:v>
                </c:pt>
                <c:pt idx="19">
                  <c:v>2.9</c:v>
                </c:pt>
                <c:pt idx="20">
                  <c:v>3</c:v>
                </c:pt>
                <c:pt idx="21">
                  <c:v>3.1</c:v>
                </c:pt>
                <c:pt idx="22">
                  <c:v>3.2</c:v>
                </c:pt>
                <c:pt idx="23">
                  <c:v>3.3</c:v>
                </c:pt>
                <c:pt idx="24">
                  <c:v>3.4</c:v>
                </c:pt>
                <c:pt idx="25">
                  <c:v>3.5</c:v>
                </c:pt>
                <c:pt idx="26">
                  <c:v>3.6</c:v>
                </c:pt>
                <c:pt idx="27">
                  <c:v>3.7</c:v>
                </c:pt>
                <c:pt idx="28">
                  <c:v>3.8</c:v>
                </c:pt>
                <c:pt idx="29">
                  <c:v>3.9</c:v>
                </c:pt>
                <c:pt idx="30">
                  <c:v>4</c:v>
                </c:pt>
              </c:numCache>
            </c:numRef>
          </c:xVal>
          <c:yVal>
            <c:numRef>
              <c:f>'Plotting the Function'!$B$2:$B$103</c:f>
              <c:numCache>
                <c:formatCode>General</c:formatCode>
                <c:ptCount val="102"/>
                <c:pt idx="0">
                  <c:v>1</c:v>
                </c:pt>
                <c:pt idx="1">
                  <c:v>1.0488088481701516</c:v>
                </c:pt>
                <c:pt idx="2">
                  <c:v>1.0954451150103321</c:v>
                </c:pt>
                <c:pt idx="3">
                  <c:v>1.1401754250991381</c:v>
                </c:pt>
                <c:pt idx="4">
                  <c:v>1.1832159566199232</c:v>
                </c:pt>
                <c:pt idx="5">
                  <c:v>1.2247448713915889</c:v>
                </c:pt>
                <c:pt idx="6">
                  <c:v>1.2649110640673518</c:v>
                </c:pt>
                <c:pt idx="7">
                  <c:v>1.3038404810405297</c:v>
                </c:pt>
                <c:pt idx="8">
                  <c:v>1.3416407864998738</c:v>
                </c:pt>
                <c:pt idx="9">
                  <c:v>1.3784048752090221</c:v>
                </c:pt>
                <c:pt idx="10">
                  <c:v>1.4142135623730951</c:v>
                </c:pt>
                <c:pt idx="11">
                  <c:v>1.4491376746189439</c:v>
                </c:pt>
                <c:pt idx="12">
                  <c:v>1.4832396974191326</c:v>
                </c:pt>
                <c:pt idx="13">
                  <c:v>1.51657508881031</c:v>
                </c:pt>
                <c:pt idx="14">
                  <c:v>1.5491933384829668</c:v>
                </c:pt>
                <c:pt idx="15">
                  <c:v>1.5811388300841898</c:v>
                </c:pt>
                <c:pt idx="16">
                  <c:v>1.61245154965971</c:v>
                </c:pt>
                <c:pt idx="17">
                  <c:v>1.6431676725154984</c:v>
                </c:pt>
                <c:pt idx="18">
                  <c:v>1.6733200530681511</c:v>
                </c:pt>
                <c:pt idx="19">
                  <c:v>1.70293863659264</c:v>
                </c:pt>
                <c:pt idx="20">
                  <c:v>1.7320508075688772</c:v>
                </c:pt>
                <c:pt idx="21">
                  <c:v>1.7606816861659009</c:v>
                </c:pt>
                <c:pt idx="22">
                  <c:v>1.7888543819998317</c:v>
                </c:pt>
                <c:pt idx="23">
                  <c:v>1.8165902124584949</c:v>
                </c:pt>
                <c:pt idx="24">
                  <c:v>1.8439088914585775</c:v>
                </c:pt>
                <c:pt idx="25">
                  <c:v>1.8708286933869707</c:v>
                </c:pt>
                <c:pt idx="26">
                  <c:v>1.8973665961010275</c:v>
                </c:pt>
                <c:pt idx="27">
                  <c:v>1.9235384061671346</c:v>
                </c:pt>
                <c:pt idx="28">
                  <c:v>1.9493588689617927</c:v>
                </c:pt>
                <c:pt idx="29">
                  <c:v>1.9748417658131499</c:v>
                </c:pt>
                <c:pt idx="3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43-CD47-B749-07658419E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365976"/>
        <c:axId val="2133368984"/>
      </c:scatterChart>
      <c:valAx>
        <c:axId val="2133365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3368984"/>
        <c:crosses val="autoZero"/>
        <c:crossBetween val="midCat"/>
      </c:valAx>
      <c:valAx>
        <c:axId val="2133368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33659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8</xdr:row>
      <xdr:rowOff>71120</xdr:rowOff>
    </xdr:from>
    <xdr:to>
      <xdr:col>4</xdr:col>
      <xdr:colOff>619760</xdr:colOff>
      <xdr:row>27</xdr:row>
      <xdr:rowOff>20320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52400" y="1351280"/>
          <a:ext cx="3149600" cy="284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Data Table Example</a:t>
          </a:r>
        </a:p>
        <a:p>
          <a:endParaRPr lang="en-US" sz="1100"/>
        </a:p>
        <a:p>
          <a:r>
            <a:rPr lang="en-US" sz="1100"/>
            <a:t>1) Make a column to count the replications</a:t>
          </a:r>
        </a:p>
        <a:p>
          <a:r>
            <a:rPr lang="en-US" sz="1100" baseline="0"/>
            <a:t>      a) Column F here</a:t>
          </a:r>
        </a:p>
        <a:p>
          <a:r>
            <a:rPr lang="en-US" sz="1100" baseline="0"/>
            <a:t>2) Make a cell that you want repeated</a:t>
          </a:r>
        </a:p>
        <a:p>
          <a:r>
            <a:rPr lang="en-US" sz="1100" baseline="0"/>
            <a:t>      a) Cell A8 will be repeated here</a:t>
          </a:r>
        </a:p>
        <a:p>
          <a:r>
            <a:rPr lang="en-US" sz="1100" baseline="0"/>
            <a:t>3) Tie the data table to the cell by setting the cell above and to the right of the 1st replication equal to the cell to be repeated</a:t>
          </a:r>
        </a:p>
        <a:p>
          <a:r>
            <a:rPr lang="en-US" sz="1100" baseline="0"/>
            <a:t>      a) Cell G4 here is set to cell A8</a:t>
          </a:r>
        </a:p>
        <a:p>
          <a:r>
            <a:rPr lang="en-US" sz="1100" baseline="0"/>
            <a:t>4) Select the cells to form the data table</a:t>
          </a:r>
        </a:p>
        <a:p>
          <a:r>
            <a:rPr lang="en-US" sz="1100" baseline="0"/>
            <a:t>      a) Select cells F4:G24</a:t>
          </a:r>
        </a:p>
        <a:p>
          <a:r>
            <a:rPr lang="en-US" sz="1100" baseline="0"/>
            <a:t>5) Select Data, What-If, Data Table</a:t>
          </a:r>
        </a:p>
        <a:p>
          <a:r>
            <a:rPr lang="en-US" sz="1100" baseline="0"/>
            <a:t>6) Enter any blank cell in for the Column input cell</a:t>
          </a:r>
        </a:p>
        <a:p>
          <a:r>
            <a:rPr lang="en-US" sz="1100" baseline="0"/>
            <a:t>      a) Here cell F4 is used</a:t>
          </a:r>
        </a:p>
        <a:p>
          <a:r>
            <a:rPr lang="en-US" sz="1100" baseline="0"/>
            <a:t>      b) Leave the Row input cell blank</a:t>
          </a:r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7</xdr:col>
      <xdr:colOff>518160</xdr:colOff>
      <xdr:row>0</xdr:row>
      <xdr:rowOff>60960</xdr:rowOff>
    </xdr:from>
    <xdr:to>
      <xdr:col>12</xdr:col>
      <xdr:colOff>200660</xdr:colOff>
      <xdr:row>11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2080" y="60960"/>
          <a:ext cx="3035300" cy="176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182880</xdr:colOff>
      <xdr:row>0</xdr:row>
      <xdr:rowOff>91440</xdr:rowOff>
    </xdr:from>
    <xdr:to>
      <xdr:col>7</xdr:col>
      <xdr:colOff>30480</xdr:colOff>
      <xdr:row>12</xdr:row>
      <xdr:rowOff>71120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833880" y="91440"/>
          <a:ext cx="3975100" cy="22656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Plotting the function:</a:t>
          </a:r>
        </a:p>
        <a:p>
          <a:endParaRPr lang="en-US" sz="1100" baseline="0"/>
        </a:p>
        <a:p>
          <a:r>
            <a:rPr lang="en-US" sz="1100" baseline="0"/>
            <a:t>1) Column A represents the x coordinates</a:t>
          </a:r>
        </a:p>
        <a:p>
          <a:r>
            <a:rPr lang="en-US" sz="1100" baseline="0"/>
            <a:t>2) Column B represents the y = f(x) coordinates</a:t>
          </a:r>
        </a:p>
        <a:p>
          <a:endParaRPr lang="en-US" sz="1100" baseline="0"/>
        </a:p>
        <a:p>
          <a:r>
            <a:rPr lang="en-US" sz="1100" baseline="0"/>
            <a:t>	f(x) = SQRT(x)</a:t>
          </a:r>
        </a:p>
        <a:p>
          <a:endParaRPr lang="en-US" sz="1100" baseline="0"/>
        </a:p>
        <a:p>
          <a:r>
            <a:rPr lang="en-US" sz="1100" baseline="0"/>
            <a:t>3) Column A enumerates the range of x's to produce the y's</a:t>
          </a:r>
        </a:p>
        <a:p>
          <a:r>
            <a:rPr lang="en-US" sz="1100" baseline="0"/>
            <a:t>4) Produce plot:</a:t>
          </a:r>
        </a:p>
        <a:p>
          <a:r>
            <a:rPr lang="en-US" sz="1100" baseline="0"/>
            <a:t>       a) Select columns A &amp; B</a:t>
          </a:r>
        </a:p>
        <a:p>
          <a:r>
            <a:rPr lang="en-US" sz="1100" baseline="0"/>
            <a:t>       b) Choose Chart, Scatter smooth line scatter</a:t>
          </a:r>
          <a:endParaRPr lang="en-US" sz="1100"/>
        </a:p>
      </xdr:txBody>
    </xdr:sp>
    <xdr:clientData/>
  </xdr:twoCellAnchor>
  <xdr:twoCellAnchor>
    <xdr:from>
      <xdr:col>2</xdr:col>
      <xdr:colOff>127000</xdr:colOff>
      <xdr:row>13</xdr:row>
      <xdr:rowOff>132080</xdr:rowOff>
    </xdr:from>
    <xdr:to>
      <xdr:col>7</xdr:col>
      <xdr:colOff>584200</xdr:colOff>
      <xdr:row>27</xdr:row>
      <xdr:rowOff>172720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345440</xdr:colOff>
      <xdr:row>0</xdr:row>
      <xdr:rowOff>81280</xdr:rowOff>
    </xdr:from>
    <xdr:to>
      <xdr:col>9</xdr:col>
      <xdr:colOff>690880</xdr:colOff>
      <xdr:row>28</xdr:row>
      <xdr:rowOff>20320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4142740" y="81280"/>
          <a:ext cx="3647440" cy="52730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Simulating the Area</a:t>
          </a:r>
        </a:p>
        <a:p>
          <a:endParaRPr lang="en-US" sz="1100"/>
        </a:p>
        <a:p>
          <a:r>
            <a:rPr lang="en-US" sz="1100"/>
            <a:t>Want to estimate the area under the curve:</a:t>
          </a:r>
        </a:p>
        <a:p>
          <a:endParaRPr lang="en-US" sz="1100"/>
        </a:p>
        <a:p>
          <a:r>
            <a:rPr lang="en-US" sz="1100"/>
            <a:t>	f(x) = sqrt(x)</a:t>
          </a:r>
          <a:r>
            <a:rPr lang="en-US" sz="1100" baseline="0"/>
            <a:t> </a:t>
          </a:r>
        </a:p>
        <a:p>
          <a:endParaRPr lang="en-US" sz="1100" baseline="0"/>
        </a:p>
        <a:p>
          <a:r>
            <a:rPr lang="en-US" sz="1100" baseline="0"/>
            <a:t>over the range [1, 4]</a:t>
          </a:r>
        </a:p>
        <a:p>
          <a:endParaRPr lang="en-US" sz="1100"/>
        </a:p>
        <a:p>
          <a:r>
            <a:rPr lang="en-US" sz="1100"/>
            <a:t>The true</a:t>
          </a:r>
          <a:r>
            <a:rPr lang="en-US" sz="1100" baseline="0"/>
            <a:t> area is 14/3 = 4.6666 (see cell E1).</a:t>
          </a:r>
        </a:p>
        <a:p>
          <a:endParaRPr lang="en-US" sz="1100" baseline="0"/>
        </a:p>
        <a:p>
          <a:r>
            <a:rPr lang="en-US" sz="1100" baseline="0"/>
            <a:t>1) column B holds rand() to generate U(0,1)</a:t>
          </a:r>
        </a:p>
        <a:p>
          <a:r>
            <a:rPr lang="en-US" sz="1100" baseline="0"/>
            <a:t>2) column C generates X ~ U(a, b) using inverse transform</a:t>
          </a:r>
        </a:p>
        <a:p>
          <a:endParaRPr lang="en-US" sz="1100" baseline="0"/>
        </a:p>
        <a:p>
          <a:r>
            <a:rPr lang="en-US" sz="1100" baseline="0"/>
            <a:t>	X = a + (b-a)*U</a:t>
          </a:r>
        </a:p>
        <a:p>
          <a:endParaRPr lang="en-US" sz="1100" baseline="0"/>
        </a:p>
        <a:p>
          <a:r>
            <a:rPr lang="en-US" sz="1100" baseline="0"/>
            <a:t>e.g. row 7:	=$C$2 + ($C$3-$C$2)*B7</a:t>
          </a:r>
        </a:p>
        <a:p>
          <a:endParaRPr lang="en-US" sz="1100" baseline="0"/>
        </a:p>
        <a:p>
          <a:r>
            <a:rPr lang="en-US" sz="1100" baseline="0"/>
            <a:t>3) column D evaluates f(x) at the generated X</a:t>
          </a:r>
        </a:p>
        <a:p>
          <a:endParaRPr lang="en-US" sz="1100" baseline="0"/>
        </a:p>
        <a:p>
          <a:r>
            <a:rPr lang="en-US" sz="1100" baseline="0"/>
            <a:t>e.g. row 7:	=SQRT(C7)</a:t>
          </a:r>
        </a:p>
        <a:p>
          <a:endParaRPr lang="en-US" sz="1100" baseline="0"/>
        </a:p>
        <a:p>
          <a:r>
            <a:rPr lang="en-US" sz="1100" baseline="0"/>
            <a:t>4) column E evaluates Y = (b-a)*f(X)</a:t>
          </a:r>
        </a:p>
        <a:p>
          <a:endParaRPr lang="en-US" sz="1100" baseline="0"/>
        </a:p>
        <a:p>
          <a:r>
            <a:rPr lang="en-US" sz="1100" baseline="0"/>
            <a:t>e.g. row 7: 	=($C$3-$C$2)*D7</a:t>
          </a:r>
        </a:p>
        <a:p>
          <a:endParaRPr lang="en-US" sz="1100" baseline="0"/>
        </a:p>
        <a:p>
          <a:r>
            <a:rPr lang="en-US" sz="1100" baseline="0"/>
            <a:t>5) cell E4 computes the average of the Y's</a:t>
          </a:r>
        </a:p>
        <a:p>
          <a:endParaRPr lang="en-US" sz="1100" baseline="0"/>
        </a:p>
        <a:p>
          <a:r>
            <a:rPr lang="en-US" sz="1100" baseline="0"/>
            <a:t>	=AVERAGE(E7:E26)</a:t>
          </a:r>
        </a:p>
        <a:p>
          <a:endParaRPr lang="en-US" sz="1100" baseline="0"/>
        </a:p>
        <a:p>
          <a:r>
            <a:rPr lang="en-US" sz="1100"/>
            <a:t>Notice how close cell E4 is to cell E1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50800</xdr:colOff>
      <xdr:row>0</xdr:row>
      <xdr:rowOff>71120</xdr:rowOff>
    </xdr:from>
    <xdr:to>
      <xdr:col>9</xdr:col>
      <xdr:colOff>396240</xdr:colOff>
      <xdr:row>27</xdr:row>
      <xdr:rowOff>10160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3848100" y="71120"/>
          <a:ext cx="3647440" cy="5082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Simulating the Area</a:t>
          </a:r>
        </a:p>
        <a:p>
          <a:endParaRPr lang="en-US" sz="1100"/>
        </a:p>
        <a:p>
          <a:r>
            <a:rPr lang="en-US" sz="1100"/>
            <a:t>Want to estimate the area under the curve:</a:t>
          </a:r>
        </a:p>
        <a:p>
          <a:endParaRPr lang="en-US" sz="1100"/>
        </a:p>
        <a:p>
          <a:r>
            <a:rPr lang="en-US" sz="1100"/>
            <a:t>	f(x) = sqrt(x)</a:t>
          </a:r>
          <a:r>
            <a:rPr lang="en-US" sz="1100" baseline="0"/>
            <a:t> </a:t>
          </a:r>
        </a:p>
        <a:p>
          <a:endParaRPr lang="en-US" sz="1100" baseline="0"/>
        </a:p>
        <a:p>
          <a:r>
            <a:rPr lang="en-US" sz="1100" baseline="0"/>
            <a:t>over the range [1, 4]</a:t>
          </a:r>
        </a:p>
        <a:p>
          <a:endParaRPr lang="en-US" sz="1100"/>
        </a:p>
        <a:p>
          <a:r>
            <a:rPr lang="en-US" sz="1100"/>
            <a:t>The true</a:t>
          </a:r>
          <a:r>
            <a:rPr lang="en-US" sz="1100" baseline="0"/>
            <a:t> area is 14/3 = 4.6666 (see cell E1).</a:t>
          </a:r>
        </a:p>
        <a:p>
          <a:endParaRPr lang="en-US" sz="1100" baseline="0"/>
        </a:p>
        <a:p>
          <a:r>
            <a:rPr lang="en-US" sz="1100" baseline="0"/>
            <a:t>1) column B holds values from rand() to generate U(0,1)</a:t>
          </a:r>
        </a:p>
        <a:p>
          <a:r>
            <a:rPr lang="en-US" sz="1100" baseline="0"/>
            <a:t>2) column C generates X ~ U(a, b) using inverse transform</a:t>
          </a:r>
        </a:p>
        <a:p>
          <a:endParaRPr lang="en-US" sz="1100" baseline="0"/>
        </a:p>
        <a:p>
          <a:r>
            <a:rPr lang="en-US" sz="1100" baseline="0"/>
            <a:t>	X = a + (b-a)*U</a:t>
          </a:r>
        </a:p>
        <a:p>
          <a:endParaRPr lang="en-US" sz="1100" baseline="0"/>
        </a:p>
        <a:p>
          <a:r>
            <a:rPr lang="en-US" sz="1100" baseline="0"/>
            <a:t>e.g. row 7:	=$C$2 + ($C$3-$C$2)*B7</a:t>
          </a:r>
        </a:p>
        <a:p>
          <a:endParaRPr lang="en-US" sz="1100" baseline="0"/>
        </a:p>
        <a:p>
          <a:r>
            <a:rPr lang="en-US" sz="1100" baseline="0"/>
            <a:t>3) column D evaluates f(x) at the generated X</a:t>
          </a:r>
        </a:p>
        <a:p>
          <a:endParaRPr lang="en-US" sz="1100" baseline="0"/>
        </a:p>
        <a:p>
          <a:r>
            <a:rPr lang="en-US" sz="1100" baseline="0"/>
            <a:t>e.g. row 7:	=SQRT(C7)</a:t>
          </a:r>
        </a:p>
        <a:p>
          <a:endParaRPr lang="en-US" sz="1100" baseline="0"/>
        </a:p>
        <a:p>
          <a:r>
            <a:rPr lang="en-US" sz="1100" baseline="0"/>
            <a:t>4) column E evaluates Y = (b-a)*f(X)</a:t>
          </a:r>
        </a:p>
        <a:p>
          <a:endParaRPr lang="en-US" sz="1100" baseline="0"/>
        </a:p>
        <a:p>
          <a:r>
            <a:rPr lang="en-US" sz="1100" baseline="0"/>
            <a:t>e.g. row 7: 	=($C$3-$C$2)*D7</a:t>
          </a:r>
        </a:p>
        <a:p>
          <a:endParaRPr lang="en-US" sz="1100" baseline="0"/>
        </a:p>
        <a:p>
          <a:r>
            <a:rPr lang="en-US" sz="1100" baseline="0"/>
            <a:t>5) cell E4 computes the average of the Y's</a:t>
          </a:r>
        </a:p>
        <a:p>
          <a:endParaRPr lang="en-US" sz="1100" baseline="0"/>
        </a:p>
        <a:p>
          <a:r>
            <a:rPr lang="en-US" sz="1100" baseline="0"/>
            <a:t>	=AVERAGE(E7:E26)</a:t>
          </a:r>
        </a:p>
        <a:p>
          <a:endParaRPr lang="en-US" sz="1100" baseline="0"/>
        </a:p>
        <a:p>
          <a:r>
            <a:rPr lang="en-US" sz="1100"/>
            <a:t>Notice how close cell E4 is to cell E1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215900</xdr:colOff>
      <xdr:row>0</xdr:row>
      <xdr:rowOff>25400</xdr:rowOff>
    </xdr:from>
    <xdr:to>
      <xdr:col>5</xdr:col>
      <xdr:colOff>368300</xdr:colOff>
      <xdr:row>15</xdr:row>
      <xdr:rowOff>101600</xdr:rowOff>
    </xdr:to>
    <xdr:sp macro="" textlink="">
      <xdr:nvSpPr>
        <xdr:cNvPr id="2" name="Text Box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>
          <a:spLocks noChangeArrowheads="1"/>
        </xdr:cNvSpPr>
      </xdr:nvSpPr>
      <xdr:spPr bwMode="auto">
        <a:xfrm>
          <a:off x="1672167" y="25400"/>
          <a:ext cx="2184400" cy="237913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Sample size determination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Run goal seek to find  the values of n such that the half-width is less than the specified desired bound.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1) Specify alpha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2) Specify S (standard deviation)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3) Specify bound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4) Specify initial n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5) Run Goal Seek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    a) Tools&gt; Goal Seek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    b) Set cell $b$9 to Value: 0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    by changing cell $b$5</a:t>
          </a:r>
        </a:p>
        <a:p>
          <a:pPr algn="l" rtl="0">
            <a:lnSpc>
              <a:spcPts val="11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215900</xdr:colOff>
      <xdr:row>0</xdr:row>
      <xdr:rowOff>25400</xdr:rowOff>
    </xdr:from>
    <xdr:to>
      <xdr:col>5</xdr:col>
      <xdr:colOff>313267</xdr:colOff>
      <xdr:row>7</xdr:row>
      <xdr:rowOff>93134</xdr:rowOff>
    </xdr:to>
    <xdr:sp macro="" textlink="">
      <xdr:nvSpPr>
        <xdr:cNvPr id="2" name="Text Box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>
          <a:spLocks noChangeArrowheads="1"/>
        </xdr:cNvSpPr>
      </xdr:nvSpPr>
      <xdr:spPr bwMode="auto">
        <a:xfrm>
          <a:off x="1833033" y="25400"/>
          <a:ext cx="2129367" cy="115146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Sample size determination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1) Specify alpha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2) Specify S (standard deviation)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3) Specify deisred half-width bound</a:t>
          </a:r>
        </a:p>
        <a:p>
          <a:pPr algn="l" rtl="0">
            <a:lnSpc>
              <a:spcPts val="11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512234</xdr:colOff>
      <xdr:row>0</xdr:row>
      <xdr:rowOff>93132</xdr:rowOff>
    </xdr:from>
    <xdr:to>
      <xdr:col>8</xdr:col>
      <xdr:colOff>414868</xdr:colOff>
      <xdr:row>18</xdr:row>
      <xdr:rowOff>8465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>
          <a:spLocks noChangeArrowheads="1"/>
        </xdr:cNvSpPr>
      </xdr:nvSpPr>
      <xdr:spPr bwMode="auto">
        <a:xfrm>
          <a:off x="2730501" y="93132"/>
          <a:ext cx="3289300" cy="265853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This sheet illustrates the Stuent t-distribution functions</a:t>
          </a: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Comment:</a:t>
          </a: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If you look up the t-value in a statistical table for df=5 and alpha = 0.05 you get 2.015. But Excel says 2.57. So, what is the problem! If you look in the table at 0.025 you will see 2.571.  Excel is reporting the t-value for alpha/2, when using TINV().  In other words, Excel automatically calculates the (alpha/2) t-value.</a:t>
          </a: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Use the T.INV() function instead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oodnessOfFitInExc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i-square Test U(0,1)"/>
      <sheetName val="Chi-square Test"/>
      <sheetName val="K-S Test"/>
      <sheetName val="PRN data"/>
      <sheetName val="Sheet3"/>
    </sheetNames>
    <sheetDataSet>
      <sheetData sheetId="0"/>
      <sheetData sheetId="1">
        <row r="1">
          <cell r="B1">
            <v>25</v>
          </cell>
        </row>
        <row r="2">
          <cell r="B2">
            <v>23.090000000000003</v>
          </cell>
        </row>
        <row r="3">
          <cell r="B3">
            <v>338.89</v>
          </cell>
        </row>
        <row r="4">
          <cell r="B4">
            <v>159.44999999999999</v>
          </cell>
        </row>
        <row r="5">
          <cell r="B5">
            <v>149.76</v>
          </cell>
        </row>
        <row r="6">
          <cell r="B6">
            <v>232.61</v>
          </cell>
        </row>
        <row r="7">
          <cell r="B7">
            <v>221.5</v>
          </cell>
        </row>
        <row r="8">
          <cell r="B8">
            <v>439.51</v>
          </cell>
        </row>
        <row r="9">
          <cell r="B9">
            <v>41.3</v>
          </cell>
        </row>
        <row r="10">
          <cell r="B10">
            <v>52.709999999999994</v>
          </cell>
        </row>
        <row r="11">
          <cell r="B11">
            <v>72.17</v>
          </cell>
        </row>
        <row r="12">
          <cell r="B12">
            <v>58.680000000000007</v>
          </cell>
        </row>
        <row r="13">
          <cell r="B13">
            <v>208.09</v>
          </cell>
        </row>
        <row r="14">
          <cell r="B14">
            <v>194.68</v>
          </cell>
        </row>
        <row r="15">
          <cell r="B15">
            <v>335.02</v>
          </cell>
        </row>
        <row r="16">
          <cell r="B16">
            <v>124.38999999999999</v>
          </cell>
        </row>
        <row r="17">
          <cell r="B17">
            <v>68.98</v>
          </cell>
        </row>
        <row r="18">
          <cell r="B18">
            <v>66.98</v>
          </cell>
        </row>
        <row r="19">
          <cell r="B19">
            <v>104.19</v>
          </cell>
        </row>
        <row r="20">
          <cell r="B20">
            <v>157.65</v>
          </cell>
        </row>
        <row r="21">
          <cell r="B21">
            <v>242.73000000000002</v>
          </cell>
        </row>
        <row r="22">
          <cell r="B22">
            <v>34.549999999999997</v>
          </cell>
        </row>
        <row r="23">
          <cell r="B23">
            <v>746.22</v>
          </cell>
        </row>
        <row r="24">
          <cell r="B24">
            <v>10.229999999999997</v>
          </cell>
        </row>
        <row r="25">
          <cell r="B25">
            <v>90.49</v>
          </cell>
        </row>
        <row r="26">
          <cell r="B26">
            <v>74.05</v>
          </cell>
        </row>
        <row r="27">
          <cell r="B27">
            <v>258.19</v>
          </cell>
        </row>
        <row r="28">
          <cell r="B28">
            <v>397.89</v>
          </cell>
        </row>
        <row r="29">
          <cell r="B29">
            <v>175.38</v>
          </cell>
        </row>
        <row r="30">
          <cell r="B30">
            <v>230.5</v>
          </cell>
        </row>
        <row r="31">
          <cell r="B31">
            <v>35.769999999999996</v>
          </cell>
        </row>
        <row r="32">
          <cell r="B32">
            <v>29.519999999999996</v>
          </cell>
        </row>
        <row r="33">
          <cell r="B33">
            <v>35.61</v>
          </cell>
        </row>
        <row r="34">
          <cell r="B34">
            <v>119.5</v>
          </cell>
        </row>
        <row r="35">
          <cell r="B35">
            <v>47.510000000000005</v>
          </cell>
        </row>
        <row r="36">
          <cell r="B36">
            <v>112.43</v>
          </cell>
        </row>
        <row r="37">
          <cell r="B37">
            <v>10.229999999999997</v>
          </cell>
        </row>
        <row r="38">
          <cell r="B38">
            <v>41.650000000000006</v>
          </cell>
        </row>
        <row r="39">
          <cell r="B39">
            <v>68.150000000000006</v>
          </cell>
        </row>
        <row r="40">
          <cell r="B40">
            <v>315.77999999999997</v>
          </cell>
        </row>
        <row r="41">
          <cell r="B41">
            <v>158.68</v>
          </cell>
        </row>
        <row r="42">
          <cell r="B42">
            <v>115.65</v>
          </cell>
        </row>
        <row r="43">
          <cell r="B43">
            <v>149.44999999999999</v>
          </cell>
        </row>
        <row r="44">
          <cell r="B44">
            <v>84.42</v>
          </cell>
        </row>
        <row r="45">
          <cell r="B45">
            <v>331.76</v>
          </cell>
        </row>
        <row r="46">
          <cell r="B46">
            <v>110.81</v>
          </cell>
        </row>
        <row r="47">
          <cell r="B47">
            <v>37.790000000000006</v>
          </cell>
        </row>
        <row r="48">
          <cell r="B48">
            <v>404.7</v>
          </cell>
        </row>
        <row r="49">
          <cell r="B49">
            <v>294.08999999999997</v>
          </cell>
        </row>
        <row r="50">
          <cell r="B50">
            <v>61.989999999999995</v>
          </cell>
        </row>
        <row r="51">
          <cell r="B51">
            <v>17.46</v>
          </cell>
        </row>
        <row r="52">
          <cell r="B52">
            <v>243.89999999999998</v>
          </cell>
        </row>
        <row r="53">
          <cell r="B53">
            <v>86.81</v>
          </cell>
        </row>
        <row r="54">
          <cell r="B54">
            <v>6.93</v>
          </cell>
        </row>
        <row r="55">
          <cell r="B55">
            <v>479.65999999999997</v>
          </cell>
        </row>
        <row r="56">
          <cell r="B56">
            <v>20.11</v>
          </cell>
        </row>
        <row r="57">
          <cell r="B57">
            <v>38.790000000000006</v>
          </cell>
        </row>
        <row r="58">
          <cell r="B58">
            <v>152.15</v>
          </cell>
        </row>
        <row r="59">
          <cell r="B59">
            <v>242.06</v>
          </cell>
        </row>
        <row r="60">
          <cell r="B60">
            <v>59.53</v>
          </cell>
        </row>
        <row r="61">
          <cell r="B61">
            <v>19.329999999999998</v>
          </cell>
        </row>
        <row r="62">
          <cell r="B62">
            <v>22.450000000000003</v>
          </cell>
        </row>
        <row r="63">
          <cell r="B63">
            <v>604.59</v>
          </cell>
        </row>
        <row r="64">
          <cell r="B64">
            <v>373.49</v>
          </cell>
        </row>
        <row r="65">
          <cell r="B65">
            <v>51.19</v>
          </cell>
        </row>
        <row r="66">
          <cell r="B66">
            <v>23</v>
          </cell>
        </row>
        <row r="67">
          <cell r="B67">
            <v>35.64</v>
          </cell>
        </row>
        <row r="68">
          <cell r="B68">
            <v>85.69</v>
          </cell>
        </row>
        <row r="69">
          <cell r="B69">
            <v>60.959999999999994</v>
          </cell>
        </row>
        <row r="70">
          <cell r="B70">
            <v>265.43</v>
          </cell>
        </row>
        <row r="71">
          <cell r="B71">
            <v>32.980000000000004</v>
          </cell>
        </row>
        <row r="72">
          <cell r="B72">
            <v>240.55</v>
          </cell>
        </row>
        <row r="73">
          <cell r="B73">
            <v>461.87</v>
          </cell>
        </row>
        <row r="74">
          <cell r="B74">
            <v>196.75</v>
          </cell>
        </row>
        <row r="75">
          <cell r="B75">
            <v>16.200000000000003</v>
          </cell>
        </row>
        <row r="76">
          <cell r="B76">
            <v>108.24000000000001</v>
          </cell>
        </row>
        <row r="77">
          <cell r="B77">
            <v>50.430000000000007</v>
          </cell>
        </row>
        <row r="78">
          <cell r="B78">
            <v>70.599999999999994</v>
          </cell>
        </row>
        <row r="79">
          <cell r="B79">
            <v>147.82</v>
          </cell>
        </row>
        <row r="80">
          <cell r="B80">
            <v>183.18</v>
          </cell>
        </row>
        <row r="81">
          <cell r="B81">
            <v>0.84000000000000341</v>
          </cell>
        </row>
        <row r="82">
          <cell r="B82">
            <v>102.03</v>
          </cell>
        </row>
        <row r="83">
          <cell r="B83">
            <v>260.37</v>
          </cell>
        </row>
        <row r="84">
          <cell r="B84">
            <v>2.5</v>
          </cell>
        </row>
        <row r="85">
          <cell r="B85">
            <v>12.299999999999997</v>
          </cell>
        </row>
        <row r="86">
          <cell r="B86">
            <v>23.97</v>
          </cell>
        </row>
        <row r="87">
          <cell r="B87">
            <v>73.63</v>
          </cell>
        </row>
        <row r="88">
          <cell r="B88">
            <v>107.99000000000001</v>
          </cell>
        </row>
        <row r="89">
          <cell r="B89">
            <v>67.88</v>
          </cell>
        </row>
        <row r="90">
          <cell r="B90">
            <v>22.92</v>
          </cell>
        </row>
        <row r="91">
          <cell r="B91">
            <v>339.37</v>
          </cell>
        </row>
        <row r="92">
          <cell r="B92">
            <v>440.9</v>
          </cell>
        </row>
        <row r="93">
          <cell r="B93">
            <v>158.11000000000001</v>
          </cell>
        </row>
        <row r="94">
          <cell r="B94">
            <v>101.52000000000001</v>
          </cell>
        </row>
        <row r="95">
          <cell r="B95">
            <v>162.47999999999999</v>
          </cell>
        </row>
        <row r="96">
          <cell r="B96">
            <v>130.61000000000001</v>
          </cell>
        </row>
        <row r="97">
          <cell r="B97">
            <v>86.28</v>
          </cell>
        </row>
        <row r="98">
          <cell r="B98">
            <v>106.56</v>
          </cell>
        </row>
        <row r="99">
          <cell r="B99">
            <v>62.72</v>
          </cell>
        </row>
        <row r="100">
          <cell r="B100">
            <v>116.63999999999999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zoomScale="200" zoomScaleNormal="200" zoomScalePageLayoutView="200" workbookViewId="0">
      <selection activeCell="E4" sqref="E4"/>
    </sheetView>
  </sheetViews>
  <sheetFormatPr baseColWidth="10" defaultColWidth="8.83203125" defaultRowHeight="13" x14ac:dyDescent="0.15"/>
  <cols>
    <col min="1" max="1" width="5.83203125" customWidth="1"/>
    <col min="2" max="2" width="12.83203125" customWidth="1"/>
    <col min="3" max="3" width="12.6640625" customWidth="1"/>
    <col min="4" max="4" width="12" bestFit="1" customWidth="1"/>
    <col min="5" max="5" width="11.5" bestFit="1" customWidth="1"/>
  </cols>
  <sheetData>
    <row r="1" spans="1:5" x14ac:dyDescent="0.15">
      <c r="B1" s="32" t="s">
        <v>40</v>
      </c>
      <c r="C1">
        <v>2</v>
      </c>
      <c r="D1" s="32" t="s">
        <v>1</v>
      </c>
      <c r="E1">
        <v>0.7</v>
      </c>
    </row>
    <row r="2" spans="1:5" x14ac:dyDescent="0.15">
      <c r="B2" s="32" t="s">
        <v>41</v>
      </c>
      <c r="C2">
        <v>10</v>
      </c>
    </row>
    <row r="4" spans="1:5" x14ac:dyDescent="0.15">
      <c r="B4" s="33" t="s">
        <v>0</v>
      </c>
      <c r="C4" s="33" t="s">
        <v>42</v>
      </c>
      <c r="D4" s="33" t="s">
        <v>43</v>
      </c>
      <c r="E4" s="33" t="s">
        <v>2</v>
      </c>
    </row>
    <row r="5" spans="1:5" x14ac:dyDescent="0.15">
      <c r="A5">
        <v>1</v>
      </c>
      <c r="B5">
        <f ca="1">RAND()</f>
        <v>0.63034958357798843</v>
      </c>
      <c r="C5">
        <f t="shared" ref="C5:C14" ca="1" si="0">RANDBETWEEN($C$1,$C$2)</f>
        <v>6</v>
      </c>
      <c r="D5">
        <f ca="1">$C$1+($C$2-$C$1)*RAND()</f>
        <v>2.1378544209352377</v>
      </c>
      <c r="E5">
        <f ca="1">IF(RAND()&lt;=$E$1,1,0)</f>
        <v>1</v>
      </c>
    </row>
    <row r="6" spans="1:5" x14ac:dyDescent="0.15">
      <c r="A6">
        <v>2</v>
      </c>
      <c r="B6">
        <f t="shared" ref="B6:B14" ca="1" si="1">RAND()</f>
        <v>0.99024557767293964</v>
      </c>
      <c r="C6">
        <f t="shared" ca="1" si="0"/>
        <v>10</v>
      </c>
      <c r="D6">
        <f t="shared" ref="D6:D14" ca="1" si="2">$C$1+($C$2-$C$1)*RAND()</f>
        <v>3.4529227640611495</v>
      </c>
      <c r="E6">
        <f t="shared" ref="E6:E14" ca="1" si="3">IF(RAND()&lt;=$E$1,1,0)</f>
        <v>0</v>
      </c>
    </row>
    <row r="7" spans="1:5" x14ac:dyDescent="0.15">
      <c r="A7">
        <v>3</v>
      </c>
      <c r="B7">
        <f t="shared" ca="1" si="1"/>
        <v>0.61386022983960431</v>
      </c>
      <c r="C7">
        <f t="shared" ca="1" si="0"/>
        <v>3</v>
      </c>
      <c r="D7">
        <f t="shared" ca="1" si="2"/>
        <v>6.5909827473015437</v>
      </c>
      <c r="E7">
        <f t="shared" ca="1" si="3"/>
        <v>0</v>
      </c>
    </row>
    <row r="8" spans="1:5" x14ac:dyDescent="0.15">
      <c r="A8">
        <v>4</v>
      </c>
      <c r="B8">
        <f t="shared" ca="1" si="1"/>
        <v>0.29889994442507728</v>
      </c>
      <c r="C8">
        <f t="shared" ca="1" si="0"/>
        <v>5</v>
      </c>
      <c r="D8">
        <f t="shared" ca="1" si="2"/>
        <v>7.5246592245042381</v>
      </c>
      <c r="E8">
        <f t="shared" ca="1" si="3"/>
        <v>1</v>
      </c>
    </row>
    <row r="9" spans="1:5" x14ac:dyDescent="0.15">
      <c r="A9">
        <v>5</v>
      </c>
      <c r="B9">
        <f t="shared" ca="1" si="1"/>
        <v>0.42786858499696856</v>
      </c>
      <c r="C9">
        <f t="shared" ca="1" si="0"/>
        <v>10</v>
      </c>
      <c r="D9">
        <f t="shared" ca="1" si="2"/>
        <v>3.3609473458793095</v>
      </c>
      <c r="E9">
        <f t="shared" ca="1" si="3"/>
        <v>1</v>
      </c>
    </row>
    <row r="10" spans="1:5" x14ac:dyDescent="0.15">
      <c r="A10">
        <v>6</v>
      </c>
      <c r="B10">
        <f t="shared" ca="1" si="1"/>
        <v>0.48560943221219433</v>
      </c>
      <c r="C10">
        <f t="shared" ca="1" si="0"/>
        <v>7</v>
      </c>
      <c r="D10">
        <f t="shared" ca="1" si="2"/>
        <v>2.7526863230302467</v>
      </c>
      <c r="E10">
        <f t="shared" ca="1" si="3"/>
        <v>1</v>
      </c>
    </row>
    <row r="11" spans="1:5" x14ac:dyDescent="0.15">
      <c r="A11">
        <v>7</v>
      </c>
      <c r="B11">
        <f t="shared" ca="1" si="1"/>
        <v>0.64380139885711185</v>
      </c>
      <c r="C11">
        <f t="shared" ca="1" si="0"/>
        <v>3</v>
      </c>
      <c r="D11">
        <f t="shared" ca="1" si="2"/>
        <v>9.240062125638838</v>
      </c>
      <c r="E11">
        <f t="shared" ca="1" si="3"/>
        <v>1</v>
      </c>
    </row>
    <row r="12" spans="1:5" x14ac:dyDescent="0.15">
      <c r="A12">
        <v>8</v>
      </c>
      <c r="B12">
        <f t="shared" ca="1" si="1"/>
        <v>0.78339676229720734</v>
      </c>
      <c r="C12">
        <f t="shared" ca="1" si="0"/>
        <v>10</v>
      </c>
      <c r="D12">
        <f t="shared" ca="1" si="2"/>
        <v>6.5849922070050875</v>
      </c>
      <c r="E12">
        <f t="shared" ca="1" si="3"/>
        <v>0</v>
      </c>
    </row>
    <row r="13" spans="1:5" x14ac:dyDescent="0.15">
      <c r="A13">
        <v>9</v>
      </c>
      <c r="B13">
        <f t="shared" ca="1" si="1"/>
        <v>0.36278453786949649</v>
      </c>
      <c r="C13">
        <f t="shared" ca="1" si="0"/>
        <v>4</v>
      </c>
      <c r="D13">
        <f t="shared" ca="1" si="2"/>
        <v>7.8053474121470074</v>
      </c>
      <c r="E13">
        <f t="shared" ca="1" si="3"/>
        <v>1</v>
      </c>
    </row>
    <row r="14" spans="1:5" x14ac:dyDescent="0.15">
      <c r="A14">
        <v>10</v>
      </c>
      <c r="B14">
        <f t="shared" ca="1" si="1"/>
        <v>0.2140716447279446</v>
      </c>
      <c r="C14">
        <f t="shared" ca="1" si="0"/>
        <v>10</v>
      </c>
      <c r="D14">
        <f t="shared" ca="1" si="2"/>
        <v>9.8701218775440758</v>
      </c>
      <c r="E14">
        <f t="shared" ca="1" si="3"/>
        <v>1</v>
      </c>
    </row>
  </sheetData>
  <phoneticPr fontId="1" type="noConversion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5"/>
  <sheetViews>
    <sheetView zoomScale="200" zoomScaleNormal="200" zoomScalePageLayoutView="200" workbookViewId="0">
      <selection activeCell="B23" sqref="B23"/>
    </sheetView>
  </sheetViews>
  <sheetFormatPr baseColWidth="10" defaultColWidth="8.83203125" defaultRowHeight="13" x14ac:dyDescent="0.15"/>
  <cols>
    <col min="1" max="1" width="25.6640625" bestFit="1" customWidth="1"/>
    <col min="2" max="2" width="12" bestFit="1" customWidth="1"/>
    <col min="4" max="4" width="12" bestFit="1" customWidth="1"/>
    <col min="5" max="5" width="32.5" bestFit="1" customWidth="1"/>
  </cols>
  <sheetData>
    <row r="1" spans="1:5" ht="14" thickBot="1" x14ac:dyDescent="0.2">
      <c r="A1" s="12"/>
      <c r="B1" s="8"/>
      <c r="C1" s="8"/>
      <c r="D1" s="8"/>
      <c r="E1" s="11" t="s">
        <v>15</v>
      </c>
    </row>
    <row r="2" spans="1:5" ht="14" thickBot="1" x14ac:dyDescent="0.2">
      <c r="A2" s="9" t="s">
        <v>3</v>
      </c>
      <c r="B2" s="10"/>
      <c r="C2" s="8"/>
      <c r="D2" s="13">
        <f ca="1">RAND()</f>
        <v>0.98586823317527794</v>
      </c>
      <c r="E2" s="20" t="s">
        <v>17</v>
      </c>
    </row>
    <row r="3" spans="1:5" x14ac:dyDescent="0.15">
      <c r="A3" s="5"/>
      <c r="B3" s="1" t="s">
        <v>10</v>
      </c>
      <c r="C3" s="2" t="s">
        <v>11</v>
      </c>
      <c r="D3" s="14"/>
      <c r="E3" s="21"/>
    </row>
    <row r="4" spans="1:5" ht="14" thickBot="1" x14ac:dyDescent="0.2">
      <c r="A4" s="6" t="s">
        <v>12</v>
      </c>
      <c r="B4" s="15">
        <v>3</v>
      </c>
      <c r="C4" s="3">
        <v>10</v>
      </c>
      <c r="D4" s="16">
        <f ca="1">RANDBETWEEN(B4,C4)</f>
        <v>8</v>
      </c>
      <c r="E4" s="22" t="s">
        <v>18</v>
      </c>
    </row>
    <row r="5" spans="1:5" x14ac:dyDescent="0.15">
      <c r="A5" s="5"/>
      <c r="B5" s="1" t="s">
        <v>10</v>
      </c>
      <c r="C5" s="2" t="s">
        <v>11</v>
      </c>
      <c r="D5" s="14"/>
      <c r="E5" s="21"/>
    </row>
    <row r="6" spans="1:5" ht="14" thickBot="1" x14ac:dyDescent="0.2">
      <c r="A6" s="6" t="s">
        <v>13</v>
      </c>
      <c r="B6" s="15">
        <v>4</v>
      </c>
      <c r="C6" s="3">
        <v>20</v>
      </c>
      <c r="D6" s="16">
        <f ca="1">B6+(C6-B6)*RAND()</f>
        <v>12.662196951934495</v>
      </c>
      <c r="E6" s="22" t="s">
        <v>16</v>
      </c>
    </row>
    <row r="7" spans="1:5" x14ac:dyDescent="0.15">
      <c r="A7" s="5"/>
      <c r="B7" s="17"/>
      <c r="C7" s="2" t="s">
        <v>14</v>
      </c>
      <c r="D7" s="14"/>
      <c r="E7" s="21"/>
    </row>
    <row r="8" spans="1:5" ht="14" thickBot="1" x14ac:dyDescent="0.2">
      <c r="A8" s="6" t="s">
        <v>2</v>
      </c>
      <c r="B8" s="15"/>
      <c r="C8" s="3">
        <v>0.7</v>
      </c>
      <c r="D8" s="16">
        <f ca="1">IF(RAND()&lt;=C8,1,0)</f>
        <v>1</v>
      </c>
      <c r="E8" s="22" t="s">
        <v>19</v>
      </c>
    </row>
    <row r="9" spans="1:5" x14ac:dyDescent="0.15">
      <c r="A9" s="5"/>
      <c r="B9" s="17"/>
      <c r="C9" s="2" t="s">
        <v>14</v>
      </c>
      <c r="D9" s="14"/>
      <c r="E9" s="23"/>
    </row>
    <row r="10" spans="1:5" ht="14" thickBot="1" x14ac:dyDescent="0.2">
      <c r="A10" s="6" t="s">
        <v>4</v>
      </c>
      <c r="B10" s="15"/>
      <c r="C10" s="3">
        <v>0.3</v>
      </c>
      <c r="D10" s="16">
        <f ca="1">1+INT(LN(1-RAND())/LN(1-C10))</f>
        <v>4</v>
      </c>
      <c r="E10" s="22" t="s">
        <v>75</v>
      </c>
    </row>
    <row r="11" spans="1:5" x14ac:dyDescent="0.15">
      <c r="A11" s="5"/>
      <c r="B11" s="17"/>
      <c r="C11" s="2" t="s">
        <v>20</v>
      </c>
      <c r="D11" s="14"/>
      <c r="E11" s="21"/>
    </row>
    <row r="12" spans="1:5" ht="14" thickBot="1" x14ac:dyDescent="0.2">
      <c r="A12" s="6" t="s">
        <v>5</v>
      </c>
      <c r="B12" s="15"/>
      <c r="C12" s="3">
        <v>5</v>
      </c>
      <c r="D12" s="16">
        <f ca="1">-C12*LN(1-RAND())</f>
        <v>7.4959950691145458</v>
      </c>
      <c r="E12" s="22" t="s">
        <v>21</v>
      </c>
    </row>
    <row r="13" spans="1:5" x14ac:dyDescent="0.15">
      <c r="A13" s="5"/>
      <c r="B13" s="1" t="s">
        <v>26</v>
      </c>
      <c r="C13" s="2" t="s">
        <v>27</v>
      </c>
      <c r="D13" s="14"/>
      <c r="E13" s="21"/>
    </row>
    <row r="14" spans="1:5" ht="14" thickBot="1" x14ac:dyDescent="0.2">
      <c r="A14" s="6" t="s">
        <v>6</v>
      </c>
      <c r="B14" s="15">
        <v>5</v>
      </c>
      <c r="C14" s="3">
        <v>3</v>
      </c>
      <c r="D14" s="16">
        <f ca="1">B14*POWER(-LN(1-RAND()),1/C14)</f>
        <v>4.5728827191100931</v>
      </c>
      <c r="E14" s="22" t="s">
        <v>28</v>
      </c>
    </row>
    <row r="15" spans="1:5" x14ac:dyDescent="0.15">
      <c r="A15" s="5"/>
      <c r="B15" s="1" t="s">
        <v>30</v>
      </c>
      <c r="C15" s="2" t="s">
        <v>31</v>
      </c>
      <c r="D15" s="14"/>
      <c r="E15" s="21"/>
    </row>
    <row r="16" spans="1:5" ht="14" thickBot="1" x14ac:dyDescent="0.2">
      <c r="A16" s="6" t="s">
        <v>7</v>
      </c>
      <c r="B16" s="15">
        <v>5</v>
      </c>
      <c r="C16" s="3">
        <v>1.5</v>
      </c>
      <c r="D16" s="16">
        <f ca="1">BETAINV(RAND(),B16,C16)</f>
        <v>0.70172374874184307</v>
      </c>
      <c r="E16" s="22" t="s">
        <v>29</v>
      </c>
    </row>
    <row r="17" spans="1:5" x14ac:dyDescent="0.15">
      <c r="A17" s="5"/>
      <c r="B17" s="17"/>
      <c r="C17" s="2" t="s">
        <v>33</v>
      </c>
      <c r="D17" s="14"/>
      <c r="E17" s="21"/>
    </row>
    <row r="18" spans="1:5" ht="14" thickBot="1" x14ac:dyDescent="0.2">
      <c r="A18" s="6" t="s">
        <v>8</v>
      </c>
      <c r="B18" s="15"/>
      <c r="C18" s="3">
        <v>5</v>
      </c>
      <c r="D18" s="16">
        <f ca="1">CHIINV(RAND(),C18)</f>
        <v>10.918672896839356</v>
      </c>
      <c r="E18" s="22" t="s">
        <v>34</v>
      </c>
    </row>
    <row r="19" spans="1:5" x14ac:dyDescent="0.15">
      <c r="A19" s="5"/>
      <c r="B19" s="1" t="s">
        <v>26</v>
      </c>
      <c r="C19" s="2" t="s">
        <v>27</v>
      </c>
      <c r="D19" s="14"/>
      <c r="E19" s="21"/>
    </row>
    <row r="20" spans="1:5" ht="14" thickBot="1" x14ac:dyDescent="0.2">
      <c r="A20" s="6" t="s">
        <v>9</v>
      </c>
      <c r="B20" s="15">
        <v>2</v>
      </c>
      <c r="C20" s="3">
        <v>10</v>
      </c>
      <c r="D20" s="16">
        <f ca="1">GAMMAINV(RAND(),C20,B20)</f>
        <v>8.9521994668636093</v>
      </c>
      <c r="E20" s="22" t="s">
        <v>32</v>
      </c>
    </row>
    <row r="21" spans="1:5" x14ac:dyDescent="0.15">
      <c r="A21" s="5"/>
      <c r="B21" s="1" t="s">
        <v>20</v>
      </c>
      <c r="C21" s="2" t="s">
        <v>22</v>
      </c>
      <c r="D21" s="14"/>
      <c r="E21" s="21"/>
    </row>
    <row r="22" spans="1:5" x14ac:dyDescent="0.15">
      <c r="A22" s="7"/>
      <c r="B22" s="18">
        <v>5</v>
      </c>
      <c r="C22" s="4">
        <v>3</v>
      </c>
      <c r="D22" s="19"/>
      <c r="E22" s="24"/>
    </row>
    <row r="23" spans="1:5" ht="14" thickBot="1" x14ac:dyDescent="0.2">
      <c r="A23" s="6" t="s">
        <v>24</v>
      </c>
      <c r="B23" s="15">
        <f>LN(B22^2/SQRT(B22^2+C22^2))</f>
        <v>1.45569556256012</v>
      </c>
      <c r="C23" s="3">
        <f>SQRT(LN(1+C22^2/B22^2))</f>
        <v>0.55451302937619107</v>
      </c>
      <c r="D23" s="16">
        <f ca="1">LOGINV(RAND(),B23,C23)</f>
        <v>4.6153519045313285</v>
      </c>
      <c r="E23" s="22" t="s">
        <v>128</v>
      </c>
    </row>
    <row r="24" spans="1:5" x14ac:dyDescent="0.15">
      <c r="A24" s="5"/>
      <c r="B24" s="1" t="s">
        <v>20</v>
      </c>
      <c r="C24" s="2" t="s">
        <v>22</v>
      </c>
      <c r="D24" s="14"/>
      <c r="E24" s="21"/>
    </row>
    <row r="25" spans="1:5" ht="14" thickBot="1" x14ac:dyDescent="0.2">
      <c r="A25" s="6" t="s">
        <v>25</v>
      </c>
      <c r="B25" s="15">
        <v>10</v>
      </c>
      <c r="C25" s="3">
        <v>2</v>
      </c>
      <c r="D25" s="16">
        <f ca="1">NORMINV(RAND(),B25,C25)</f>
        <v>7.530421714194043</v>
      </c>
      <c r="E25" s="22" t="s">
        <v>23</v>
      </c>
    </row>
  </sheetData>
  <phoneticPr fontId="1" type="noConversion"/>
  <pageMargins left="0.75" right="0.75" top="1" bottom="1" header="0.5" footer="0.5"/>
  <pageSetup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8"/>
  <sheetViews>
    <sheetView zoomScale="200" zoomScaleNormal="200" zoomScalePageLayoutView="200" workbookViewId="0">
      <selection activeCell="E9" sqref="E9"/>
    </sheetView>
  </sheetViews>
  <sheetFormatPr baseColWidth="10" defaultColWidth="8.83203125" defaultRowHeight="13" x14ac:dyDescent="0.15"/>
  <sheetData>
    <row r="1" spans="1:4" ht="14" thickBot="1" x14ac:dyDescent="0.2"/>
    <row r="2" spans="1:4" ht="14" thickBot="1" x14ac:dyDescent="0.2">
      <c r="A2" s="26" t="s">
        <v>35</v>
      </c>
      <c r="B2" s="27" t="s">
        <v>38</v>
      </c>
      <c r="C2" s="27" t="s">
        <v>36</v>
      </c>
      <c r="D2" s="26" t="s">
        <v>37</v>
      </c>
    </row>
    <row r="3" spans="1:4" ht="14" thickBot="1" x14ac:dyDescent="0.2">
      <c r="A3" s="28">
        <v>0.4</v>
      </c>
      <c r="B3" s="29">
        <v>0</v>
      </c>
      <c r="C3" s="29">
        <v>0.4</v>
      </c>
      <c r="D3" s="28">
        <v>1</v>
      </c>
    </row>
    <row r="4" spans="1:4" ht="14" thickBot="1" x14ac:dyDescent="0.2">
      <c r="A4" s="28">
        <v>0.3</v>
      </c>
      <c r="B4" s="29">
        <f>C3</f>
        <v>0.4</v>
      </c>
      <c r="C4" s="29">
        <v>0.7</v>
      </c>
      <c r="D4" s="28">
        <v>2</v>
      </c>
    </row>
    <row r="5" spans="1:4" ht="14" thickBot="1" x14ac:dyDescent="0.2">
      <c r="A5" s="28">
        <v>0.2</v>
      </c>
      <c r="B5" s="29">
        <f>C4</f>
        <v>0.7</v>
      </c>
      <c r="C5" s="29">
        <v>0.9</v>
      </c>
      <c r="D5" s="28">
        <v>3</v>
      </c>
    </row>
    <row r="6" spans="1:4" ht="14" thickBot="1" x14ac:dyDescent="0.2">
      <c r="A6" s="28">
        <v>0.1</v>
      </c>
      <c r="B6" s="29">
        <f>C5</f>
        <v>0.9</v>
      </c>
      <c r="C6" s="29">
        <v>1</v>
      </c>
      <c r="D6" s="28">
        <v>4</v>
      </c>
    </row>
    <row r="8" spans="1:4" x14ac:dyDescent="0.15">
      <c r="A8">
        <f ca="1">VLOOKUP(RAND(),B3:D6,3)</f>
        <v>1</v>
      </c>
      <c r="B8" s="31" t="s">
        <v>39</v>
      </c>
    </row>
  </sheetData>
  <phoneticPr fontId="1" type="noConversion"/>
  <pageMargins left="0.75" right="0.75" top="1" bottom="1" header="0.5" footer="0.5"/>
  <pageSetup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24"/>
  <sheetViews>
    <sheetView zoomScale="150" zoomScaleNormal="150" zoomScalePageLayoutView="150" workbookViewId="0">
      <selection activeCell="I19" sqref="I19"/>
    </sheetView>
  </sheetViews>
  <sheetFormatPr baseColWidth="10" defaultColWidth="8.83203125" defaultRowHeight="13" x14ac:dyDescent="0.15"/>
  <cols>
    <col min="6" max="6" width="9.5" customWidth="1"/>
    <col min="7" max="7" width="10.33203125" customWidth="1"/>
  </cols>
  <sheetData>
    <row r="1" spans="1:7" ht="14" thickBot="1" x14ac:dyDescent="0.2"/>
    <row r="2" spans="1:7" ht="14" thickBot="1" x14ac:dyDescent="0.2">
      <c r="A2" s="26" t="s">
        <v>35</v>
      </c>
      <c r="B2" s="27" t="s">
        <v>38</v>
      </c>
      <c r="C2" s="27" t="s">
        <v>36</v>
      </c>
      <c r="D2" s="26" t="s">
        <v>37</v>
      </c>
      <c r="F2" s="33" t="s">
        <v>86</v>
      </c>
    </row>
    <row r="3" spans="1:7" ht="14" thickBot="1" x14ac:dyDescent="0.2">
      <c r="A3" s="28">
        <v>0.4</v>
      </c>
      <c r="B3" s="29">
        <v>0</v>
      </c>
      <c r="C3" s="29">
        <v>0.4</v>
      </c>
      <c r="D3" s="28">
        <v>1</v>
      </c>
      <c r="F3" s="33" t="s">
        <v>87</v>
      </c>
      <c r="G3" s="33" t="s">
        <v>88</v>
      </c>
    </row>
    <row r="4" spans="1:7" ht="14" thickBot="1" x14ac:dyDescent="0.2">
      <c r="A4" s="28">
        <v>0.3</v>
      </c>
      <c r="B4" s="29">
        <f>C3</f>
        <v>0.4</v>
      </c>
      <c r="C4" s="29">
        <v>0.7</v>
      </c>
      <c r="D4" s="28">
        <v>2</v>
      </c>
      <c r="G4">
        <f ca="1">A8</f>
        <v>4</v>
      </c>
    </row>
    <row r="5" spans="1:7" ht="14" thickBot="1" x14ac:dyDescent="0.2">
      <c r="A5" s="28">
        <v>0.2</v>
      </c>
      <c r="B5" s="29">
        <f>C4</f>
        <v>0.7</v>
      </c>
      <c r="C5" s="29">
        <v>0.9</v>
      </c>
      <c r="D5" s="28">
        <v>3</v>
      </c>
      <c r="F5">
        <v>1</v>
      </c>
      <c r="G5">
        <f t="dataTable" ref="G5:G24" dt2D="0" dtr="0" r1="F4" ca="1"/>
        <v>4</v>
      </c>
    </row>
    <row r="6" spans="1:7" ht="14" thickBot="1" x14ac:dyDescent="0.2">
      <c r="A6" s="28">
        <v>0.1</v>
      </c>
      <c r="B6" s="29">
        <f>C5</f>
        <v>0.9</v>
      </c>
      <c r="C6" s="29">
        <v>1</v>
      </c>
      <c r="D6" s="28">
        <v>4</v>
      </c>
      <c r="F6">
        <v>2</v>
      </c>
      <c r="G6">
        <v>2</v>
      </c>
    </row>
    <row r="7" spans="1:7" x14ac:dyDescent="0.15">
      <c r="F7">
        <v>3</v>
      </c>
      <c r="G7">
        <v>4</v>
      </c>
    </row>
    <row r="8" spans="1:7" x14ac:dyDescent="0.15">
      <c r="A8">
        <f ca="1">VLOOKUP(RAND(),B3:D6,3)</f>
        <v>4</v>
      </c>
      <c r="B8" s="31" t="s">
        <v>39</v>
      </c>
      <c r="F8">
        <v>4</v>
      </c>
      <c r="G8">
        <v>1</v>
      </c>
    </row>
    <row r="9" spans="1:7" x14ac:dyDescent="0.15">
      <c r="F9">
        <v>5</v>
      </c>
      <c r="G9">
        <v>2</v>
      </c>
    </row>
    <row r="10" spans="1:7" x14ac:dyDescent="0.15">
      <c r="F10">
        <v>6</v>
      </c>
      <c r="G10">
        <v>2</v>
      </c>
    </row>
    <row r="11" spans="1:7" x14ac:dyDescent="0.15">
      <c r="F11">
        <v>7</v>
      </c>
      <c r="G11">
        <v>1</v>
      </c>
    </row>
    <row r="12" spans="1:7" x14ac:dyDescent="0.15">
      <c r="F12">
        <v>8</v>
      </c>
      <c r="G12">
        <v>2</v>
      </c>
    </row>
    <row r="13" spans="1:7" x14ac:dyDescent="0.15">
      <c r="F13">
        <v>9</v>
      </c>
      <c r="G13">
        <v>2</v>
      </c>
    </row>
    <row r="14" spans="1:7" x14ac:dyDescent="0.15">
      <c r="F14">
        <v>10</v>
      </c>
      <c r="G14">
        <v>1</v>
      </c>
    </row>
    <row r="15" spans="1:7" x14ac:dyDescent="0.15">
      <c r="F15">
        <v>11</v>
      </c>
      <c r="G15">
        <v>2</v>
      </c>
    </row>
    <row r="16" spans="1:7" x14ac:dyDescent="0.15">
      <c r="F16">
        <v>12</v>
      </c>
      <c r="G16">
        <v>3</v>
      </c>
    </row>
    <row r="17" spans="6:7" x14ac:dyDescent="0.15">
      <c r="F17">
        <v>13</v>
      </c>
      <c r="G17">
        <v>1</v>
      </c>
    </row>
    <row r="18" spans="6:7" x14ac:dyDescent="0.15">
      <c r="F18">
        <v>14</v>
      </c>
      <c r="G18">
        <v>3</v>
      </c>
    </row>
    <row r="19" spans="6:7" x14ac:dyDescent="0.15">
      <c r="F19">
        <v>15</v>
      </c>
      <c r="G19">
        <v>1</v>
      </c>
    </row>
    <row r="20" spans="6:7" x14ac:dyDescent="0.15">
      <c r="F20">
        <v>16</v>
      </c>
      <c r="G20">
        <v>4</v>
      </c>
    </row>
    <row r="21" spans="6:7" x14ac:dyDescent="0.15">
      <c r="F21">
        <v>17</v>
      </c>
      <c r="G21">
        <v>1</v>
      </c>
    </row>
    <row r="22" spans="6:7" x14ac:dyDescent="0.15">
      <c r="F22">
        <v>18</v>
      </c>
      <c r="G22">
        <v>2</v>
      </c>
    </row>
    <row r="23" spans="6:7" x14ac:dyDescent="0.15">
      <c r="F23">
        <v>19</v>
      </c>
      <c r="G23">
        <v>1</v>
      </c>
    </row>
    <row r="24" spans="6:7" x14ac:dyDescent="0.15">
      <c r="F24">
        <v>20</v>
      </c>
      <c r="G24">
        <v>2</v>
      </c>
    </row>
  </sheetData>
  <pageMargins left="0.75" right="0.75" top="1" bottom="1" header="0.5" footer="0.5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B32"/>
  <sheetViews>
    <sheetView zoomScale="125" zoomScaleNormal="125" zoomScalePageLayoutView="125" workbookViewId="0">
      <selection activeCell="H6" sqref="H6"/>
    </sheetView>
  </sheetViews>
  <sheetFormatPr baseColWidth="10" defaultRowHeight="16" x14ac:dyDescent="0.2"/>
  <cols>
    <col min="1" max="16384" width="10.83203125" style="40"/>
  </cols>
  <sheetData>
    <row r="1" spans="1:2" x14ac:dyDescent="0.2">
      <c r="A1" s="39" t="s">
        <v>76</v>
      </c>
      <c r="B1" s="39" t="s">
        <v>77</v>
      </c>
    </row>
    <row r="2" spans="1:2" x14ac:dyDescent="0.2">
      <c r="A2" s="40">
        <v>1</v>
      </c>
      <c r="B2" s="40">
        <f>SQRT(A2)</f>
        <v>1</v>
      </c>
    </row>
    <row r="3" spans="1:2" x14ac:dyDescent="0.2">
      <c r="A3" s="40">
        <v>1.1000000000000001</v>
      </c>
      <c r="B3" s="40">
        <f t="shared" ref="B3:B32" si="0">SQRT(A3)</f>
        <v>1.0488088481701516</v>
      </c>
    </row>
    <row r="4" spans="1:2" x14ac:dyDescent="0.2">
      <c r="A4" s="40">
        <v>1.2</v>
      </c>
      <c r="B4" s="40">
        <f t="shared" si="0"/>
        <v>1.0954451150103321</v>
      </c>
    </row>
    <row r="5" spans="1:2" x14ac:dyDescent="0.2">
      <c r="A5" s="40">
        <v>1.3</v>
      </c>
      <c r="B5" s="40">
        <f t="shared" si="0"/>
        <v>1.1401754250991381</v>
      </c>
    </row>
    <row r="6" spans="1:2" x14ac:dyDescent="0.2">
      <c r="A6" s="40">
        <v>1.4</v>
      </c>
      <c r="B6" s="40">
        <f t="shared" si="0"/>
        <v>1.1832159566199232</v>
      </c>
    </row>
    <row r="7" spans="1:2" x14ac:dyDescent="0.2">
      <c r="A7" s="40">
        <v>1.5</v>
      </c>
      <c r="B7" s="40">
        <f t="shared" si="0"/>
        <v>1.2247448713915889</v>
      </c>
    </row>
    <row r="8" spans="1:2" x14ac:dyDescent="0.2">
      <c r="A8" s="40">
        <v>1.6</v>
      </c>
      <c r="B8" s="40">
        <f t="shared" si="0"/>
        <v>1.2649110640673518</v>
      </c>
    </row>
    <row r="9" spans="1:2" x14ac:dyDescent="0.2">
      <c r="A9" s="40">
        <v>1.7</v>
      </c>
      <c r="B9" s="40">
        <f t="shared" si="0"/>
        <v>1.3038404810405297</v>
      </c>
    </row>
    <row r="10" spans="1:2" x14ac:dyDescent="0.2">
      <c r="A10" s="40">
        <v>1.8</v>
      </c>
      <c r="B10" s="40">
        <f t="shared" si="0"/>
        <v>1.3416407864998738</v>
      </c>
    </row>
    <row r="11" spans="1:2" x14ac:dyDescent="0.2">
      <c r="A11" s="40">
        <v>1.9</v>
      </c>
      <c r="B11" s="40">
        <f t="shared" si="0"/>
        <v>1.3784048752090221</v>
      </c>
    </row>
    <row r="12" spans="1:2" x14ac:dyDescent="0.2">
      <c r="A12" s="40">
        <v>2</v>
      </c>
      <c r="B12" s="40">
        <f t="shared" si="0"/>
        <v>1.4142135623730951</v>
      </c>
    </row>
    <row r="13" spans="1:2" x14ac:dyDescent="0.2">
      <c r="A13" s="40">
        <v>2.1</v>
      </c>
      <c r="B13" s="40">
        <f t="shared" si="0"/>
        <v>1.4491376746189439</v>
      </c>
    </row>
    <row r="14" spans="1:2" x14ac:dyDescent="0.2">
      <c r="A14" s="40">
        <v>2.2000000000000002</v>
      </c>
      <c r="B14" s="40">
        <f t="shared" si="0"/>
        <v>1.4832396974191326</v>
      </c>
    </row>
    <row r="15" spans="1:2" x14ac:dyDescent="0.2">
      <c r="A15" s="40">
        <v>2.2999999999999998</v>
      </c>
      <c r="B15" s="40">
        <f t="shared" si="0"/>
        <v>1.51657508881031</v>
      </c>
    </row>
    <row r="16" spans="1:2" x14ac:dyDescent="0.2">
      <c r="A16" s="40">
        <v>2.4</v>
      </c>
      <c r="B16" s="40">
        <f t="shared" si="0"/>
        <v>1.5491933384829668</v>
      </c>
    </row>
    <row r="17" spans="1:2" x14ac:dyDescent="0.2">
      <c r="A17" s="40">
        <v>2.5</v>
      </c>
      <c r="B17" s="40">
        <f t="shared" si="0"/>
        <v>1.5811388300841898</v>
      </c>
    </row>
    <row r="18" spans="1:2" x14ac:dyDescent="0.2">
      <c r="A18" s="40">
        <v>2.6</v>
      </c>
      <c r="B18" s="40">
        <f t="shared" si="0"/>
        <v>1.61245154965971</v>
      </c>
    </row>
    <row r="19" spans="1:2" x14ac:dyDescent="0.2">
      <c r="A19" s="40">
        <v>2.7</v>
      </c>
      <c r="B19" s="40">
        <f t="shared" si="0"/>
        <v>1.6431676725154984</v>
      </c>
    </row>
    <row r="20" spans="1:2" x14ac:dyDescent="0.2">
      <c r="A20" s="40">
        <v>2.8</v>
      </c>
      <c r="B20" s="40">
        <f t="shared" si="0"/>
        <v>1.6733200530681511</v>
      </c>
    </row>
    <row r="21" spans="1:2" x14ac:dyDescent="0.2">
      <c r="A21" s="40">
        <v>2.9</v>
      </c>
      <c r="B21" s="40">
        <f t="shared" si="0"/>
        <v>1.70293863659264</v>
      </c>
    </row>
    <row r="22" spans="1:2" x14ac:dyDescent="0.2">
      <c r="A22" s="40">
        <v>3</v>
      </c>
      <c r="B22" s="40">
        <f t="shared" si="0"/>
        <v>1.7320508075688772</v>
      </c>
    </row>
    <row r="23" spans="1:2" x14ac:dyDescent="0.2">
      <c r="A23" s="40">
        <v>3.1</v>
      </c>
      <c r="B23" s="40">
        <f t="shared" si="0"/>
        <v>1.7606816861659009</v>
      </c>
    </row>
    <row r="24" spans="1:2" x14ac:dyDescent="0.2">
      <c r="A24" s="40">
        <v>3.2</v>
      </c>
      <c r="B24" s="40">
        <f t="shared" si="0"/>
        <v>1.7888543819998317</v>
      </c>
    </row>
    <row r="25" spans="1:2" x14ac:dyDescent="0.2">
      <c r="A25" s="40">
        <v>3.3</v>
      </c>
      <c r="B25" s="40">
        <f t="shared" si="0"/>
        <v>1.8165902124584949</v>
      </c>
    </row>
    <row r="26" spans="1:2" x14ac:dyDescent="0.2">
      <c r="A26" s="40">
        <v>3.4</v>
      </c>
      <c r="B26" s="40">
        <f t="shared" si="0"/>
        <v>1.8439088914585775</v>
      </c>
    </row>
    <row r="27" spans="1:2" x14ac:dyDescent="0.2">
      <c r="A27" s="40">
        <v>3.5</v>
      </c>
      <c r="B27" s="40">
        <f t="shared" si="0"/>
        <v>1.8708286933869707</v>
      </c>
    </row>
    <row r="28" spans="1:2" x14ac:dyDescent="0.2">
      <c r="A28" s="40">
        <v>3.6</v>
      </c>
      <c r="B28" s="40">
        <f t="shared" si="0"/>
        <v>1.8973665961010275</v>
      </c>
    </row>
    <row r="29" spans="1:2" x14ac:dyDescent="0.2">
      <c r="A29" s="40">
        <v>3.7</v>
      </c>
      <c r="B29" s="40">
        <f t="shared" si="0"/>
        <v>1.9235384061671346</v>
      </c>
    </row>
    <row r="30" spans="1:2" x14ac:dyDescent="0.2">
      <c r="A30" s="40">
        <v>3.8</v>
      </c>
      <c r="B30" s="40">
        <f t="shared" si="0"/>
        <v>1.9493588689617927</v>
      </c>
    </row>
    <row r="31" spans="1:2" x14ac:dyDescent="0.2">
      <c r="A31" s="40">
        <v>3.9</v>
      </c>
      <c r="B31" s="40">
        <f t="shared" si="0"/>
        <v>1.9748417658131499</v>
      </c>
    </row>
    <row r="32" spans="1:2" x14ac:dyDescent="0.2">
      <c r="A32" s="40">
        <v>4</v>
      </c>
      <c r="B32" s="40">
        <f t="shared" si="0"/>
        <v>2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E26"/>
  <sheetViews>
    <sheetView zoomScale="125" zoomScaleNormal="125" zoomScalePageLayoutView="125" workbookViewId="0">
      <selection activeCell="D28" sqref="D28"/>
    </sheetView>
  </sheetViews>
  <sheetFormatPr baseColWidth="10" defaultRowHeight="16" x14ac:dyDescent="0.2"/>
  <cols>
    <col min="1" max="1" width="3.1640625" style="40" bestFit="1" customWidth="1"/>
    <col min="2" max="2" width="14.1640625" style="40" customWidth="1"/>
    <col min="3" max="16384" width="10.83203125" style="40"/>
  </cols>
  <sheetData>
    <row r="1" spans="1:5" x14ac:dyDescent="0.2">
      <c r="D1" s="40" t="s">
        <v>78</v>
      </c>
      <c r="E1" s="40">
        <f>14/3</f>
        <v>4.666666666666667</v>
      </c>
    </row>
    <row r="2" spans="1:5" x14ac:dyDescent="0.2">
      <c r="B2" s="41" t="s">
        <v>79</v>
      </c>
      <c r="C2" s="40">
        <v>1</v>
      </c>
    </row>
    <row r="3" spans="1:5" x14ac:dyDescent="0.2">
      <c r="B3" s="41" t="s">
        <v>80</v>
      </c>
      <c r="C3" s="40">
        <v>4</v>
      </c>
    </row>
    <row r="4" spans="1:5" x14ac:dyDescent="0.2">
      <c r="D4" s="40" t="s">
        <v>81</v>
      </c>
      <c r="E4" s="40">
        <f ca="1">AVERAGE(E7:E26)</f>
        <v>4.6788601427844139</v>
      </c>
    </row>
    <row r="6" spans="1:5" x14ac:dyDescent="0.2">
      <c r="A6" s="39" t="s">
        <v>82</v>
      </c>
      <c r="B6" s="39" t="s">
        <v>0</v>
      </c>
      <c r="C6" s="39" t="s">
        <v>83</v>
      </c>
      <c r="D6" s="39" t="s">
        <v>84</v>
      </c>
      <c r="E6" s="39" t="s">
        <v>85</v>
      </c>
    </row>
    <row r="7" spans="1:5" x14ac:dyDescent="0.2">
      <c r="A7" s="40">
        <v>1</v>
      </c>
      <c r="B7" s="40">
        <f ca="1">RAND()</f>
        <v>0.8709634826264212</v>
      </c>
      <c r="C7" s="40">
        <f t="shared" ref="C7:C26" ca="1" si="0">$C$2 + ($C$3-$C$2)*B7</f>
        <v>3.6128904478792636</v>
      </c>
      <c r="D7" s="40">
        <f ca="1">SQRT(C7)</f>
        <v>1.9007604919818972</v>
      </c>
      <c r="E7" s="40">
        <f t="shared" ref="E7:E26" ca="1" si="1">($C$3-$C$2)*D7</f>
        <v>5.7022814759456919</v>
      </c>
    </row>
    <row r="8" spans="1:5" x14ac:dyDescent="0.2">
      <c r="A8" s="40">
        <v>2</v>
      </c>
      <c r="B8" s="40">
        <f t="shared" ref="B8:B26" ca="1" si="2">RAND()</f>
        <v>6.5675158812951273E-2</v>
      </c>
      <c r="C8" s="40">
        <f t="shared" ca="1" si="0"/>
        <v>1.1970254764388537</v>
      </c>
      <c r="D8" s="40">
        <f t="shared" ref="D8:D26" ca="1" si="3">SQRT(C8)</f>
        <v>1.094086594579631</v>
      </c>
      <c r="E8" s="40">
        <f t="shared" ca="1" si="1"/>
        <v>3.2822597837388932</v>
      </c>
    </row>
    <row r="9" spans="1:5" x14ac:dyDescent="0.2">
      <c r="A9" s="40">
        <v>3</v>
      </c>
      <c r="B9" s="40">
        <f t="shared" ca="1" si="2"/>
        <v>6.0835893483301984E-2</v>
      </c>
      <c r="C9" s="40">
        <f t="shared" ca="1" si="0"/>
        <v>1.182507680449906</v>
      </c>
      <c r="D9" s="40">
        <f t="shared" ca="1" si="3"/>
        <v>1.0874316900154721</v>
      </c>
      <c r="E9" s="40">
        <f t="shared" ca="1" si="1"/>
        <v>3.2622950700464166</v>
      </c>
    </row>
    <row r="10" spans="1:5" x14ac:dyDescent="0.2">
      <c r="A10" s="40">
        <v>4</v>
      </c>
      <c r="B10" s="40">
        <f t="shared" ca="1" si="2"/>
        <v>2.9337444164066695E-2</v>
      </c>
      <c r="C10" s="40">
        <f t="shared" ca="1" si="0"/>
        <v>1.0880123324922</v>
      </c>
      <c r="D10" s="40">
        <f t="shared" ca="1" si="3"/>
        <v>1.0430782964342609</v>
      </c>
      <c r="E10" s="40">
        <f t="shared" ca="1" si="1"/>
        <v>3.1292348893027828</v>
      </c>
    </row>
    <row r="11" spans="1:5" x14ac:dyDescent="0.2">
      <c r="A11" s="40">
        <v>5</v>
      </c>
      <c r="B11" s="40">
        <f t="shared" ca="1" si="2"/>
        <v>0.48270831786958324</v>
      </c>
      <c r="C11" s="40">
        <f t="shared" ca="1" si="0"/>
        <v>2.4481249536087497</v>
      </c>
      <c r="D11" s="40">
        <f t="shared" ca="1" si="3"/>
        <v>1.5646485080070698</v>
      </c>
      <c r="E11" s="40">
        <f t="shared" ca="1" si="1"/>
        <v>4.6939455240212098</v>
      </c>
    </row>
    <row r="12" spans="1:5" x14ac:dyDescent="0.2">
      <c r="A12" s="40">
        <v>6</v>
      </c>
      <c r="B12" s="40">
        <f t="shared" ca="1" si="2"/>
        <v>0.34827147846472073</v>
      </c>
      <c r="C12" s="40">
        <f t="shared" ca="1" si="0"/>
        <v>2.0448144353941622</v>
      </c>
      <c r="D12" s="40">
        <f t="shared" ca="1" si="3"/>
        <v>1.4299700819926835</v>
      </c>
      <c r="E12" s="40">
        <f t="shared" ca="1" si="1"/>
        <v>4.2899102459780503</v>
      </c>
    </row>
    <row r="13" spans="1:5" x14ac:dyDescent="0.2">
      <c r="A13" s="40">
        <v>7</v>
      </c>
      <c r="B13" s="40">
        <f t="shared" ca="1" si="2"/>
        <v>0.9849468316649953</v>
      </c>
      <c r="C13" s="40">
        <f t="shared" ca="1" si="0"/>
        <v>3.9548404949949858</v>
      </c>
      <c r="D13" s="40">
        <f t="shared" ca="1" si="3"/>
        <v>1.9886780772651429</v>
      </c>
      <c r="E13" s="40">
        <f t="shared" ca="1" si="1"/>
        <v>5.9660342317954287</v>
      </c>
    </row>
    <row r="14" spans="1:5" x14ac:dyDescent="0.2">
      <c r="A14" s="40">
        <v>8</v>
      </c>
      <c r="B14" s="40">
        <f t="shared" ca="1" si="2"/>
        <v>0.62881641569708258</v>
      </c>
      <c r="C14" s="40">
        <f t="shared" ca="1" si="0"/>
        <v>2.8864492470912477</v>
      </c>
      <c r="D14" s="40">
        <f t="shared" ca="1" si="3"/>
        <v>1.6989553399342927</v>
      </c>
      <c r="E14" s="40">
        <f t="shared" ca="1" si="1"/>
        <v>5.0968660198028779</v>
      </c>
    </row>
    <row r="15" spans="1:5" x14ac:dyDescent="0.2">
      <c r="A15" s="40">
        <v>9</v>
      </c>
      <c r="B15" s="40">
        <f t="shared" ca="1" si="2"/>
        <v>0.22027590378260453</v>
      </c>
      <c r="C15" s="40">
        <f t="shared" ca="1" si="0"/>
        <v>1.6608277113478136</v>
      </c>
      <c r="D15" s="40">
        <f t="shared" ca="1" si="3"/>
        <v>1.2887310469402891</v>
      </c>
      <c r="E15" s="40">
        <f t="shared" ca="1" si="1"/>
        <v>3.866193140820867</v>
      </c>
    </row>
    <row r="16" spans="1:5" x14ac:dyDescent="0.2">
      <c r="A16" s="40">
        <v>10</v>
      </c>
      <c r="B16" s="40">
        <f t="shared" ca="1" si="2"/>
        <v>0.49439669384112916</v>
      </c>
      <c r="C16" s="40">
        <f t="shared" ca="1" si="0"/>
        <v>2.4831900815233876</v>
      </c>
      <c r="D16" s="40">
        <f t="shared" ca="1" si="3"/>
        <v>1.5758141011944866</v>
      </c>
      <c r="E16" s="40">
        <f t="shared" ca="1" si="1"/>
        <v>4.7274423035834596</v>
      </c>
    </row>
    <row r="17" spans="1:5" x14ac:dyDescent="0.2">
      <c r="A17" s="40">
        <v>11</v>
      </c>
      <c r="B17" s="40">
        <f t="shared" ca="1" si="2"/>
        <v>0.30619265110082405</v>
      </c>
      <c r="C17" s="40">
        <f t="shared" ca="1" si="0"/>
        <v>1.9185779533024721</v>
      </c>
      <c r="D17" s="40">
        <f t="shared" ca="1" si="3"/>
        <v>1.3851274141040137</v>
      </c>
      <c r="E17" s="40">
        <f t="shared" ca="1" si="1"/>
        <v>4.155382242312041</v>
      </c>
    </row>
    <row r="18" spans="1:5" x14ac:dyDescent="0.2">
      <c r="A18" s="40">
        <v>12</v>
      </c>
      <c r="B18" s="40">
        <f t="shared" ca="1" si="2"/>
        <v>0.83024078904912602</v>
      </c>
      <c r="C18" s="40">
        <f t="shared" ca="1" si="0"/>
        <v>3.4907223671473782</v>
      </c>
      <c r="D18" s="40">
        <f t="shared" ca="1" si="3"/>
        <v>1.8683474963580458</v>
      </c>
      <c r="E18" s="40">
        <f t="shared" ca="1" si="1"/>
        <v>5.6050424890741368</v>
      </c>
    </row>
    <row r="19" spans="1:5" x14ac:dyDescent="0.2">
      <c r="A19" s="40">
        <v>13</v>
      </c>
      <c r="B19" s="40">
        <f t="shared" ca="1" si="2"/>
        <v>0.42583412122941466</v>
      </c>
      <c r="C19" s="40">
        <f t="shared" ca="1" si="0"/>
        <v>2.2775023636882441</v>
      </c>
      <c r="D19" s="40">
        <f t="shared" ca="1" si="3"/>
        <v>1.5091396104033066</v>
      </c>
      <c r="E19" s="40">
        <f t="shared" ca="1" si="1"/>
        <v>4.5274188312099195</v>
      </c>
    </row>
    <row r="20" spans="1:5" x14ac:dyDescent="0.2">
      <c r="A20" s="40">
        <v>14</v>
      </c>
      <c r="B20" s="40">
        <f t="shared" ca="1" si="2"/>
        <v>0.14723744449505027</v>
      </c>
      <c r="C20" s="40">
        <f t="shared" ca="1" si="0"/>
        <v>1.4417123334851509</v>
      </c>
      <c r="D20" s="40">
        <f t="shared" ca="1" si="3"/>
        <v>1.200713260310367</v>
      </c>
      <c r="E20" s="40">
        <f t="shared" ca="1" si="1"/>
        <v>3.6021397809311009</v>
      </c>
    </row>
    <row r="21" spans="1:5" x14ac:dyDescent="0.2">
      <c r="A21" s="40">
        <v>15</v>
      </c>
      <c r="B21" s="40">
        <f t="shared" ca="1" si="2"/>
        <v>0.86717023562569195</v>
      </c>
      <c r="C21" s="40">
        <f t="shared" ca="1" si="0"/>
        <v>3.6015107068770758</v>
      </c>
      <c r="D21" s="40">
        <f t="shared" ca="1" si="3"/>
        <v>1.8977646605617557</v>
      </c>
      <c r="E21" s="40">
        <f t="shared" ca="1" si="1"/>
        <v>5.693293981685267</v>
      </c>
    </row>
    <row r="22" spans="1:5" x14ac:dyDescent="0.2">
      <c r="A22" s="40">
        <v>16</v>
      </c>
      <c r="B22" s="40">
        <f t="shared" ca="1" si="2"/>
        <v>0.15949752969450504</v>
      </c>
      <c r="C22" s="40">
        <f t="shared" ca="1" si="0"/>
        <v>1.478492589083515</v>
      </c>
      <c r="D22" s="40">
        <f t="shared" ca="1" si="3"/>
        <v>1.2159328061548118</v>
      </c>
      <c r="E22" s="40">
        <f t="shared" ca="1" si="1"/>
        <v>3.6477984184644354</v>
      </c>
    </row>
    <row r="23" spans="1:5" x14ac:dyDescent="0.2">
      <c r="A23" s="40">
        <v>17</v>
      </c>
      <c r="B23" s="40">
        <f t="shared" ca="1" si="2"/>
        <v>0.98520103772755219</v>
      </c>
      <c r="C23" s="40">
        <f t="shared" ca="1" si="0"/>
        <v>3.9556031131826566</v>
      </c>
      <c r="D23" s="40">
        <f t="shared" ca="1" si="3"/>
        <v>1.9888698080021872</v>
      </c>
      <c r="E23" s="40">
        <f t="shared" ca="1" si="1"/>
        <v>5.9666094240065615</v>
      </c>
    </row>
    <row r="24" spans="1:5" x14ac:dyDescent="0.2">
      <c r="A24" s="40">
        <v>18</v>
      </c>
      <c r="B24" s="40">
        <f t="shared" ca="1" si="2"/>
        <v>0.97643882228525936</v>
      </c>
      <c r="C24" s="40">
        <f t="shared" ca="1" si="0"/>
        <v>3.9293164668557781</v>
      </c>
      <c r="D24" s="40">
        <f t="shared" ca="1" si="3"/>
        <v>1.9822503542327286</v>
      </c>
      <c r="E24" s="40">
        <f t="shared" ca="1" si="1"/>
        <v>5.9467510626981852</v>
      </c>
    </row>
    <row r="25" spans="1:5" x14ac:dyDescent="0.2">
      <c r="A25" s="40">
        <v>19</v>
      </c>
      <c r="B25" s="40">
        <f t="shared" ca="1" si="2"/>
        <v>0.9807741551880107</v>
      </c>
      <c r="C25" s="40">
        <f t="shared" ca="1" si="0"/>
        <v>3.9423224655640321</v>
      </c>
      <c r="D25" s="40">
        <f t="shared" ca="1" si="3"/>
        <v>1.9855282585659748</v>
      </c>
      <c r="E25" s="40">
        <f t="shared" ca="1" si="1"/>
        <v>5.9565847756979249</v>
      </c>
    </row>
    <row r="26" spans="1:5" x14ac:dyDescent="0.2">
      <c r="A26" s="40">
        <v>20</v>
      </c>
      <c r="B26" s="40">
        <f t="shared" ca="1" si="2"/>
        <v>0.40329981580962193</v>
      </c>
      <c r="C26" s="40">
        <f t="shared" ca="1" si="0"/>
        <v>2.2098994474288656</v>
      </c>
      <c r="D26" s="40">
        <f t="shared" ca="1" si="3"/>
        <v>1.4865730548576701</v>
      </c>
      <c r="E26" s="40">
        <f t="shared" ca="1" si="1"/>
        <v>4.4597191645730101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E26"/>
  <sheetViews>
    <sheetView zoomScale="125" zoomScaleNormal="125" zoomScalePageLayoutView="125" workbookViewId="0">
      <selection activeCell="E28" sqref="E28"/>
    </sheetView>
  </sheetViews>
  <sheetFormatPr baseColWidth="10" defaultRowHeight="16" x14ac:dyDescent="0.2"/>
  <cols>
    <col min="1" max="1" width="3.1640625" style="40" bestFit="1" customWidth="1"/>
    <col min="2" max="2" width="14.1640625" style="40" customWidth="1"/>
    <col min="3" max="16384" width="10.83203125" style="40"/>
  </cols>
  <sheetData>
    <row r="1" spans="1:5" x14ac:dyDescent="0.2">
      <c r="D1" s="40" t="s">
        <v>78</v>
      </c>
      <c r="E1" s="40">
        <f>14/3</f>
        <v>4.666666666666667</v>
      </c>
    </row>
    <row r="2" spans="1:5" x14ac:dyDescent="0.2">
      <c r="B2" s="41" t="s">
        <v>79</v>
      </c>
      <c r="C2" s="40">
        <v>1</v>
      </c>
    </row>
    <row r="3" spans="1:5" x14ac:dyDescent="0.2">
      <c r="B3" s="41" t="s">
        <v>80</v>
      </c>
      <c r="C3" s="40">
        <v>4</v>
      </c>
    </row>
    <row r="4" spans="1:5" x14ac:dyDescent="0.2">
      <c r="D4" s="40" t="s">
        <v>81</v>
      </c>
      <c r="E4" s="40">
        <f>AVERAGE(E7:E26)</f>
        <v>4.7421463911056412</v>
      </c>
    </row>
    <row r="6" spans="1:5" x14ac:dyDescent="0.2">
      <c r="A6" s="39" t="s">
        <v>82</v>
      </c>
      <c r="B6" s="39" t="s">
        <v>0</v>
      </c>
      <c r="C6" s="39" t="s">
        <v>83</v>
      </c>
      <c r="D6" s="39" t="s">
        <v>84</v>
      </c>
      <c r="E6" s="39" t="s">
        <v>85</v>
      </c>
    </row>
    <row r="7" spans="1:5" x14ac:dyDescent="0.2">
      <c r="A7" s="40">
        <v>1</v>
      </c>
      <c r="B7" s="40">
        <v>0.99719147318890333</v>
      </c>
      <c r="C7" s="40">
        <f t="shared" ref="C7:C26" si="0">$C$2 + ($C$3-$C$2)*B7</f>
        <v>3.9915744195667102</v>
      </c>
      <c r="D7" s="40">
        <f>SQRT(C7)</f>
        <v>1.9978924944968162</v>
      </c>
      <c r="E7" s="40">
        <f t="shared" ref="E7:E26" si="1">($C$3-$C$2)*D7</f>
        <v>5.9936774834904485</v>
      </c>
    </row>
    <row r="8" spans="1:5" x14ac:dyDescent="0.2">
      <c r="A8" s="40">
        <v>2</v>
      </c>
      <c r="B8" s="40">
        <v>0.98908134449554541</v>
      </c>
      <c r="C8" s="40">
        <f t="shared" si="0"/>
        <v>3.9672440334866361</v>
      </c>
      <c r="D8" s="40">
        <f t="shared" ref="D8:D26" si="2">SQRT(C8)</f>
        <v>1.9917941744785368</v>
      </c>
      <c r="E8" s="40">
        <f t="shared" si="1"/>
        <v>5.9753825234356102</v>
      </c>
    </row>
    <row r="9" spans="1:5" x14ac:dyDescent="0.2">
      <c r="A9" s="40">
        <v>3</v>
      </c>
      <c r="B9" s="40">
        <v>0.21772084966728955</v>
      </c>
      <c r="C9" s="40">
        <f t="shared" si="0"/>
        <v>1.6531625490018687</v>
      </c>
      <c r="D9" s="40">
        <f t="shared" si="2"/>
        <v>1.285753689087404</v>
      </c>
      <c r="E9" s="40">
        <f t="shared" si="1"/>
        <v>3.8572610672622121</v>
      </c>
    </row>
    <row r="10" spans="1:5" x14ac:dyDescent="0.2">
      <c r="A10" s="40">
        <v>4</v>
      </c>
      <c r="B10" s="40">
        <v>0.66189543552056662</v>
      </c>
      <c r="C10" s="40">
        <f t="shared" si="0"/>
        <v>2.9856863065616999</v>
      </c>
      <c r="D10" s="40">
        <f t="shared" si="2"/>
        <v>1.7279138597053094</v>
      </c>
      <c r="E10" s="40">
        <f t="shared" si="1"/>
        <v>5.183741579115928</v>
      </c>
    </row>
    <row r="11" spans="1:5" x14ac:dyDescent="0.2">
      <c r="A11" s="40">
        <v>5</v>
      </c>
      <c r="B11" s="40">
        <v>0.40414264240777376</v>
      </c>
      <c r="C11" s="40">
        <f t="shared" si="0"/>
        <v>2.2124279272233212</v>
      </c>
      <c r="D11" s="40">
        <f t="shared" si="2"/>
        <v>1.487423250868199</v>
      </c>
      <c r="E11" s="40">
        <f t="shared" si="1"/>
        <v>4.4622697526045974</v>
      </c>
    </row>
    <row r="12" spans="1:5" x14ac:dyDescent="0.2">
      <c r="A12" s="40">
        <v>6</v>
      </c>
      <c r="B12" s="40">
        <v>0.29621665693002597</v>
      </c>
      <c r="C12" s="40">
        <f t="shared" si="0"/>
        <v>1.8886499707900779</v>
      </c>
      <c r="D12" s="40">
        <f t="shared" si="2"/>
        <v>1.3742816198982208</v>
      </c>
      <c r="E12" s="40">
        <f t="shared" si="1"/>
        <v>4.1228448596946627</v>
      </c>
    </row>
    <row r="13" spans="1:5" x14ac:dyDescent="0.2">
      <c r="A13" s="40">
        <v>7</v>
      </c>
      <c r="B13" s="40">
        <v>0.61386100888560002</v>
      </c>
      <c r="C13" s="40">
        <f t="shared" si="0"/>
        <v>2.8415830266568003</v>
      </c>
      <c r="D13" s="40">
        <f t="shared" si="2"/>
        <v>1.6856995659537912</v>
      </c>
      <c r="E13" s="40">
        <f t="shared" si="1"/>
        <v>5.0570986978613739</v>
      </c>
    </row>
    <row r="14" spans="1:5" x14ac:dyDescent="0.2">
      <c r="A14" s="40">
        <v>8</v>
      </c>
      <c r="B14" s="40">
        <v>0.37081048043363851</v>
      </c>
      <c r="C14" s="40">
        <f t="shared" si="0"/>
        <v>2.1124314413009158</v>
      </c>
      <c r="D14" s="40">
        <f t="shared" si="2"/>
        <v>1.453420600274028</v>
      </c>
      <c r="E14" s="40">
        <f t="shared" si="1"/>
        <v>4.3602618008220837</v>
      </c>
    </row>
    <row r="15" spans="1:5" x14ac:dyDescent="0.2">
      <c r="A15" s="40">
        <v>9</v>
      </c>
      <c r="B15" s="40">
        <v>0.90462382458572488</v>
      </c>
      <c r="C15" s="40">
        <f t="shared" si="0"/>
        <v>3.7138714737571745</v>
      </c>
      <c r="D15" s="40">
        <f t="shared" si="2"/>
        <v>1.9271407508942295</v>
      </c>
      <c r="E15" s="40">
        <f t="shared" si="1"/>
        <v>5.7814222526826882</v>
      </c>
    </row>
    <row r="16" spans="1:5" x14ac:dyDescent="0.2">
      <c r="A16" s="40">
        <v>10</v>
      </c>
      <c r="B16" s="40">
        <v>0.99243608041437525</v>
      </c>
      <c r="C16" s="40">
        <f t="shared" si="0"/>
        <v>3.9773082412431258</v>
      </c>
      <c r="D16" s="40">
        <f t="shared" si="2"/>
        <v>1.9943189918473738</v>
      </c>
      <c r="E16" s="40">
        <f t="shared" si="1"/>
        <v>5.9829569755421215</v>
      </c>
    </row>
    <row r="17" spans="1:5" x14ac:dyDescent="0.2">
      <c r="A17" s="40">
        <v>11</v>
      </c>
      <c r="B17" s="40">
        <v>0.45283410051265049</v>
      </c>
      <c r="C17" s="40">
        <f t="shared" si="0"/>
        <v>2.3585023015379516</v>
      </c>
      <c r="D17" s="40">
        <f t="shared" si="2"/>
        <v>1.5357416128821775</v>
      </c>
      <c r="E17" s="40">
        <f t="shared" si="1"/>
        <v>4.6072248386465322</v>
      </c>
    </row>
    <row r="18" spans="1:5" x14ac:dyDescent="0.2">
      <c r="A18" s="40">
        <v>12</v>
      </c>
      <c r="B18" s="40">
        <v>0.17447821576148592</v>
      </c>
      <c r="C18" s="40">
        <f t="shared" si="0"/>
        <v>1.5234346472844578</v>
      </c>
      <c r="D18" s="40">
        <f t="shared" si="2"/>
        <v>1.2342749480097446</v>
      </c>
      <c r="E18" s="40">
        <f t="shared" si="1"/>
        <v>3.7028248440292337</v>
      </c>
    </row>
    <row r="19" spans="1:5" x14ac:dyDescent="0.2">
      <c r="A19" s="40">
        <v>13</v>
      </c>
      <c r="B19" s="40">
        <v>0.22817808820302843</v>
      </c>
      <c r="C19" s="40">
        <f t="shared" si="0"/>
        <v>1.6845342646090853</v>
      </c>
      <c r="D19" s="40">
        <f t="shared" si="2"/>
        <v>1.2978960916071383</v>
      </c>
      <c r="E19" s="40">
        <f t="shared" si="1"/>
        <v>3.8936882748214146</v>
      </c>
    </row>
    <row r="20" spans="1:5" x14ac:dyDescent="0.2">
      <c r="A20" s="40">
        <v>14</v>
      </c>
      <c r="B20" s="40">
        <v>3.5379787560264053E-2</v>
      </c>
      <c r="C20" s="40">
        <f t="shared" si="0"/>
        <v>1.1061393626807923</v>
      </c>
      <c r="D20" s="40">
        <f t="shared" si="2"/>
        <v>1.0517316020167846</v>
      </c>
      <c r="E20" s="40">
        <f t="shared" si="1"/>
        <v>3.1551948060503539</v>
      </c>
    </row>
    <row r="21" spans="1:5" x14ac:dyDescent="0.2">
      <c r="A21" s="40">
        <v>15</v>
      </c>
      <c r="B21" s="40">
        <v>0.50771835827542189</v>
      </c>
      <c r="C21" s="40">
        <f t="shared" si="0"/>
        <v>2.5231550748262657</v>
      </c>
      <c r="D21" s="40">
        <f t="shared" si="2"/>
        <v>1.5884442309462004</v>
      </c>
      <c r="E21" s="40">
        <f t="shared" si="1"/>
        <v>4.7653326928386015</v>
      </c>
    </row>
    <row r="22" spans="1:5" x14ac:dyDescent="0.2">
      <c r="A22" s="40">
        <v>16</v>
      </c>
      <c r="B22" s="40">
        <v>0.98319987774796114</v>
      </c>
      <c r="C22" s="40">
        <f t="shared" si="0"/>
        <v>3.9495996332438832</v>
      </c>
      <c r="D22" s="40">
        <f t="shared" si="2"/>
        <v>1.9873599656941576</v>
      </c>
      <c r="E22" s="40">
        <f t="shared" si="1"/>
        <v>5.9620798970824733</v>
      </c>
    </row>
    <row r="23" spans="1:5" x14ac:dyDescent="0.2">
      <c r="A23" s="40">
        <v>17</v>
      </c>
      <c r="B23" s="40">
        <v>0.68979309707889103</v>
      </c>
      <c r="C23" s="40">
        <f t="shared" si="0"/>
        <v>3.0693792912366731</v>
      </c>
      <c r="D23" s="40">
        <f t="shared" si="2"/>
        <v>1.7519644092380053</v>
      </c>
      <c r="E23" s="40">
        <f t="shared" si="1"/>
        <v>5.255893227714016</v>
      </c>
    </row>
    <row r="24" spans="1:5" x14ac:dyDescent="0.2">
      <c r="A24" s="40">
        <v>18</v>
      </c>
      <c r="B24" s="40">
        <v>0.27210133278328152</v>
      </c>
      <c r="C24" s="40">
        <f t="shared" si="0"/>
        <v>1.8163039983498446</v>
      </c>
      <c r="D24" s="40">
        <f t="shared" si="2"/>
        <v>1.3477032308152432</v>
      </c>
      <c r="E24" s="40">
        <f t="shared" si="1"/>
        <v>4.0431096924457295</v>
      </c>
    </row>
    <row r="25" spans="1:5" x14ac:dyDescent="0.2">
      <c r="A25" s="40">
        <v>19</v>
      </c>
      <c r="B25" s="40">
        <v>0.79977492845747022</v>
      </c>
      <c r="C25" s="40">
        <f t="shared" si="0"/>
        <v>3.3993247853724107</v>
      </c>
      <c r="D25" s="40">
        <f t="shared" si="2"/>
        <v>1.8437257890945744</v>
      </c>
      <c r="E25" s="40">
        <f t="shared" si="1"/>
        <v>5.531177367283723</v>
      </c>
    </row>
    <row r="26" spans="1:5" x14ac:dyDescent="0.2">
      <c r="A26" s="40">
        <v>20</v>
      </c>
      <c r="B26" s="40">
        <v>3.404655384339117E-2</v>
      </c>
      <c r="C26" s="40">
        <f t="shared" si="0"/>
        <v>1.1021396615301735</v>
      </c>
      <c r="D26" s="40">
        <f t="shared" si="2"/>
        <v>1.0498283962296759</v>
      </c>
      <c r="E26" s="40">
        <f t="shared" si="1"/>
        <v>3.1494851886890278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J49"/>
  <sheetViews>
    <sheetView topLeftCell="G1" zoomScale="150" zoomScaleNormal="150" zoomScalePageLayoutView="150" workbookViewId="0">
      <selection activeCell="J13" sqref="J13"/>
    </sheetView>
  </sheetViews>
  <sheetFormatPr baseColWidth="10" defaultColWidth="8.83203125" defaultRowHeight="13" x14ac:dyDescent="0.15"/>
  <cols>
    <col min="1" max="1" width="17" customWidth="1"/>
    <col min="2" max="2" width="9.1640625" customWidth="1"/>
    <col min="3" max="3" width="4" bestFit="1" customWidth="1"/>
    <col min="4" max="4" width="4.6640625" bestFit="1" customWidth="1"/>
    <col min="5" max="5" width="4.5" bestFit="1" customWidth="1"/>
    <col min="7" max="7" width="20" customWidth="1"/>
  </cols>
  <sheetData>
    <row r="1" spans="1:9" x14ac:dyDescent="0.15">
      <c r="A1" s="33" t="s">
        <v>44</v>
      </c>
      <c r="G1" s="25" t="s">
        <v>109</v>
      </c>
      <c r="H1" s="33" t="s">
        <v>74</v>
      </c>
      <c r="I1" s="33" t="s">
        <v>123</v>
      </c>
    </row>
    <row r="2" spans="1:9" x14ac:dyDescent="0.15">
      <c r="A2" s="32" t="s">
        <v>45</v>
      </c>
      <c r="B2" s="34">
        <v>-800</v>
      </c>
      <c r="G2" s="37" t="s">
        <v>51</v>
      </c>
      <c r="H2">
        <f>AVERAGE(H20:H49)</f>
        <v>174.76109200246012</v>
      </c>
      <c r="I2">
        <f>AVERAGE(I20:I49)</f>
        <v>0.3</v>
      </c>
    </row>
    <row r="3" spans="1:9" x14ac:dyDescent="0.15">
      <c r="A3" s="32" t="s">
        <v>46</v>
      </c>
      <c r="B3" s="34"/>
      <c r="G3" s="37" t="s">
        <v>52</v>
      </c>
      <c r="H3">
        <f>H5/SQRT(H11)</f>
        <v>45.22362703436594</v>
      </c>
      <c r="I3">
        <f>I5/SQRT(I11)</f>
        <v>8.5096294339676318E-2</v>
      </c>
    </row>
    <row r="4" spans="1:9" x14ac:dyDescent="0.15">
      <c r="A4" s="44" t="s">
        <v>20</v>
      </c>
      <c r="B4" s="34">
        <v>-100</v>
      </c>
      <c r="G4" s="37" t="s">
        <v>53</v>
      </c>
      <c r="H4">
        <f>MEDIAN(H20:H49)</f>
        <v>214.8160320613128</v>
      </c>
      <c r="I4">
        <f>MEDIAN(I20:I49)</f>
        <v>0</v>
      </c>
    </row>
    <row r="5" spans="1:9" x14ac:dyDescent="0.15">
      <c r="A5" s="44" t="s">
        <v>22</v>
      </c>
      <c r="B5" s="34">
        <v>10</v>
      </c>
      <c r="G5" s="37" t="s">
        <v>54</v>
      </c>
      <c r="H5">
        <f>STDEV(H20:H49)</f>
        <v>247.70000658922683</v>
      </c>
      <c r="I5">
        <f>STDEV(I20:I49)</f>
        <v>0.46609159969939901</v>
      </c>
    </row>
    <row r="6" spans="1:9" x14ac:dyDescent="0.15">
      <c r="A6" s="32" t="s">
        <v>70</v>
      </c>
      <c r="B6" s="34"/>
      <c r="G6" s="37" t="s">
        <v>55</v>
      </c>
      <c r="H6">
        <f>VAR(H20:H49)</f>
        <v>61355.293264303022</v>
      </c>
      <c r="I6">
        <f>VAR(I20:I49)</f>
        <v>0.21724137931034482</v>
      </c>
    </row>
    <row r="7" spans="1:9" x14ac:dyDescent="0.15">
      <c r="A7" s="44" t="s">
        <v>20</v>
      </c>
      <c r="B7" s="34">
        <v>300</v>
      </c>
      <c r="G7" s="37" t="s">
        <v>56</v>
      </c>
      <c r="H7">
        <f>H9-H8</f>
        <v>1040.0015993300258</v>
      </c>
      <c r="I7">
        <f>I9-I8</f>
        <v>1</v>
      </c>
    </row>
    <row r="8" spans="1:9" x14ac:dyDescent="0.15">
      <c r="A8" s="44" t="s">
        <v>22</v>
      </c>
      <c r="B8" s="34">
        <v>50</v>
      </c>
      <c r="G8" s="37" t="s">
        <v>57</v>
      </c>
      <c r="H8">
        <f>MIN(H20:H49)</f>
        <v>-339.82174419969147</v>
      </c>
      <c r="I8">
        <f>MIN(I20:I49)</f>
        <v>0</v>
      </c>
    </row>
    <row r="9" spans="1:9" x14ac:dyDescent="0.15">
      <c r="A9" s="32" t="s">
        <v>47</v>
      </c>
      <c r="B9" s="34"/>
      <c r="G9" s="37" t="s">
        <v>58</v>
      </c>
      <c r="H9">
        <f>MAX(H20:H49)</f>
        <v>700.1798551303342</v>
      </c>
      <c r="I9">
        <f>MAX(I20:I49)</f>
        <v>1</v>
      </c>
    </row>
    <row r="10" spans="1:9" x14ac:dyDescent="0.15">
      <c r="A10" s="44" t="s">
        <v>10</v>
      </c>
      <c r="B10" s="34">
        <v>90</v>
      </c>
      <c r="G10" s="37" t="s">
        <v>59</v>
      </c>
      <c r="H10">
        <f>SUM(H20:H49)</f>
        <v>5242.8327600738039</v>
      </c>
      <c r="I10">
        <f>SUM(I20:I49)</f>
        <v>9</v>
      </c>
    </row>
    <row r="11" spans="1:9" x14ac:dyDescent="0.15">
      <c r="A11" s="44" t="s">
        <v>11</v>
      </c>
      <c r="B11" s="34">
        <v>100</v>
      </c>
      <c r="G11" s="37" t="s">
        <v>60</v>
      </c>
      <c r="H11">
        <f>COUNT(H20:H49)</f>
        <v>30</v>
      </c>
      <c r="I11">
        <f>COUNT(I20:I49)</f>
        <v>30</v>
      </c>
    </row>
    <row r="12" spans="1:9" x14ac:dyDescent="0.15">
      <c r="A12" s="32" t="s">
        <v>48</v>
      </c>
      <c r="B12" s="25" t="s">
        <v>35</v>
      </c>
      <c r="C12" s="25" t="s">
        <v>38</v>
      </c>
      <c r="D12" s="25" t="s">
        <v>36</v>
      </c>
      <c r="E12" s="25" t="s">
        <v>49</v>
      </c>
      <c r="G12" s="37" t="s">
        <v>61</v>
      </c>
      <c r="H12">
        <v>0.05</v>
      </c>
      <c r="I12">
        <v>0.05</v>
      </c>
    </row>
    <row r="13" spans="1:9" x14ac:dyDescent="0.15">
      <c r="B13" s="35">
        <v>0.3</v>
      </c>
      <c r="C13">
        <v>0</v>
      </c>
      <c r="D13">
        <v>0.3</v>
      </c>
      <c r="E13">
        <v>4</v>
      </c>
      <c r="G13" s="37" t="s">
        <v>62</v>
      </c>
      <c r="H13">
        <f>_xlfn.T.INV(1-H12/2,H11-1)</f>
        <v>2.0452296421327034</v>
      </c>
      <c r="I13">
        <f>_xlfn.T.INV(1-I12/2,I11-1)</f>
        <v>2.0452296421327034</v>
      </c>
    </row>
    <row r="14" spans="1:9" x14ac:dyDescent="0.15">
      <c r="B14" s="35">
        <v>0.4</v>
      </c>
      <c r="C14">
        <v>0.3</v>
      </c>
      <c r="D14">
        <v>0.7</v>
      </c>
      <c r="E14">
        <v>5</v>
      </c>
      <c r="G14" s="37" t="s">
        <v>63</v>
      </c>
      <c r="H14">
        <f>H13*H3</f>
        <v>92.492702535439108</v>
      </c>
      <c r="I14">
        <f>I13*I3</f>
        <v>0.1740414636191554</v>
      </c>
    </row>
    <row r="15" spans="1:9" x14ac:dyDescent="0.15">
      <c r="B15" s="35">
        <v>0.1</v>
      </c>
      <c r="C15">
        <v>0.7</v>
      </c>
      <c r="D15">
        <v>0.8</v>
      </c>
      <c r="E15">
        <v>6</v>
      </c>
      <c r="G15" s="37" t="s">
        <v>65</v>
      </c>
      <c r="H15">
        <f>H2-H14</f>
        <v>82.268389467021009</v>
      </c>
      <c r="I15">
        <f>I2-I14</f>
        <v>0.12595853638084459</v>
      </c>
    </row>
    <row r="16" spans="1:9" x14ac:dyDescent="0.15">
      <c r="B16" s="35">
        <v>0.2</v>
      </c>
      <c r="C16">
        <v>0.8</v>
      </c>
      <c r="D16">
        <v>1</v>
      </c>
      <c r="E16">
        <v>7</v>
      </c>
      <c r="G16" s="37" t="s">
        <v>64</v>
      </c>
      <c r="H16">
        <f>H2+H14</f>
        <v>267.25379453789924</v>
      </c>
      <c r="I16">
        <f>I2+I14</f>
        <v>0.47404146361915539</v>
      </c>
    </row>
    <row r="17" spans="1:10" x14ac:dyDescent="0.15">
      <c r="A17" s="32" t="s">
        <v>50</v>
      </c>
    </row>
    <row r="18" spans="1:10" x14ac:dyDescent="0.15">
      <c r="A18" s="44" t="s">
        <v>66</v>
      </c>
      <c r="B18" s="35">
        <v>5</v>
      </c>
      <c r="G18" s="33" t="s">
        <v>73</v>
      </c>
    </row>
    <row r="19" spans="1:10" x14ac:dyDescent="0.15">
      <c r="A19" s="44" t="s">
        <v>67</v>
      </c>
      <c r="B19" s="35">
        <v>1.5</v>
      </c>
      <c r="H19" s="34">
        <f ca="1">B33</f>
        <v>-316.95855847450218</v>
      </c>
    </row>
    <row r="20" spans="1:10" x14ac:dyDescent="0.15">
      <c r="A20" s="44" t="s">
        <v>10</v>
      </c>
      <c r="B20" s="36">
        <v>0.06</v>
      </c>
      <c r="G20">
        <v>1</v>
      </c>
      <c r="H20">
        <f t="dataTable" ref="H20:H49" dt2D="0" dtr="0" r1="G19" ca="1"/>
        <v>385.59546069935499</v>
      </c>
      <c r="I20">
        <f>IF(H20&lt;0,1,0)</f>
        <v>0</v>
      </c>
      <c r="J20" s="30" t="s">
        <v>124</v>
      </c>
    </row>
    <row r="21" spans="1:10" x14ac:dyDescent="0.15">
      <c r="A21" s="44" t="s">
        <v>11</v>
      </c>
      <c r="B21" s="36">
        <v>0.09</v>
      </c>
      <c r="G21">
        <v>2</v>
      </c>
      <c r="H21">
        <v>201.11575971971894</v>
      </c>
      <c r="I21">
        <f t="shared" ref="I21:I49" si="0">IF(H21&lt;0,1,0)</f>
        <v>0</v>
      </c>
    </row>
    <row r="22" spans="1:10" x14ac:dyDescent="0.15">
      <c r="G22">
        <v>3</v>
      </c>
      <c r="H22">
        <v>478.79360403900603</v>
      </c>
      <c r="I22">
        <f t="shared" si="0"/>
        <v>0</v>
      </c>
    </row>
    <row r="23" spans="1:10" x14ac:dyDescent="0.15">
      <c r="A23" s="33" t="s">
        <v>98</v>
      </c>
      <c r="G23">
        <v>4</v>
      </c>
      <c r="H23">
        <v>153.9409567760047</v>
      </c>
      <c r="I23">
        <f t="shared" si="0"/>
        <v>0</v>
      </c>
    </row>
    <row r="24" spans="1:10" x14ac:dyDescent="0.15">
      <c r="A24" s="44" t="s">
        <v>45</v>
      </c>
      <c r="B24" s="34">
        <f>B2</f>
        <v>-800</v>
      </c>
      <c r="G24">
        <v>5</v>
      </c>
      <c r="H24">
        <v>431.22187065701587</v>
      </c>
      <c r="I24">
        <f t="shared" si="0"/>
        <v>0</v>
      </c>
    </row>
    <row r="25" spans="1:10" x14ac:dyDescent="0.15">
      <c r="A25" s="44" t="s">
        <v>46</v>
      </c>
      <c r="B25">
        <f ca="1">NORMINV(RAND(),B4,B5)</f>
        <v>-103.13613534928561</v>
      </c>
      <c r="G25">
        <v>6</v>
      </c>
      <c r="H25">
        <v>700.1798551303342</v>
      </c>
      <c r="I25">
        <f t="shared" si="0"/>
        <v>0</v>
      </c>
    </row>
    <row r="26" spans="1:10" x14ac:dyDescent="0.15">
      <c r="A26" s="44" t="s">
        <v>70</v>
      </c>
      <c r="B26">
        <f ca="1">NORMINV(RAND(),B7,B8)</f>
        <v>185.91289802170911</v>
      </c>
      <c r="G26">
        <v>7</v>
      </c>
      <c r="H26">
        <v>-10.583919942065904</v>
      </c>
      <c r="I26">
        <f t="shared" si="0"/>
        <v>1</v>
      </c>
    </row>
    <row r="27" spans="1:10" x14ac:dyDescent="0.15">
      <c r="A27" s="44" t="s">
        <v>47</v>
      </c>
      <c r="B27" s="34">
        <f ca="1">B10+(B11-B10)*RAND()</f>
        <v>97.512388171148615</v>
      </c>
      <c r="G27">
        <v>8</v>
      </c>
      <c r="H27">
        <v>-152.64854994040584</v>
      </c>
      <c r="I27">
        <f t="shared" si="0"/>
        <v>1</v>
      </c>
    </row>
    <row r="28" spans="1:10" x14ac:dyDescent="0.15">
      <c r="A28" s="44" t="s">
        <v>48</v>
      </c>
      <c r="B28">
        <f ca="1">VLOOKUP(RAND(),C13:E16,3)</f>
        <v>7</v>
      </c>
      <c r="G28">
        <v>9</v>
      </c>
      <c r="H28">
        <v>-339.82174419969147</v>
      </c>
      <c r="I28">
        <f t="shared" si="0"/>
        <v>1</v>
      </c>
    </row>
    <row r="29" spans="1:10" x14ac:dyDescent="0.15">
      <c r="A29" s="44" t="s">
        <v>50</v>
      </c>
      <c r="B29">
        <f ca="1">BETAINV(RAND(),B18,B19,B20,B21)</f>
        <v>8.2636961862337655E-2</v>
      </c>
      <c r="G29">
        <v>10</v>
      </c>
      <c r="H29">
        <v>233.58757014951385</v>
      </c>
      <c r="I29">
        <f t="shared" si="0"/>
        <v>0</v>
      </c>
    </row>
    <row r="30" spans="1:10" x14ac:dyDescent="0.15">
      <c r="A30" s="44" t="s">
        <v>68</v>
      </c>
      <c r="B30" s="38">
        <f ca="1">PV(B29,B28,,-B27)</f>
        <v>55.934510567499949</v>
      </c>
      <c r="G30">
        <v>11</v>
      </c>
      <c r="H30">
        <v>-142.16827064846296</v>
      </c>
      <c r="I30">
        <f t="shared" si="0"/>
        <v>1</v>
      </c>
    </row>
    <row r="31" spans="1:10" x14ac:dyDescent="0.15">
      <c r="A31" s="44" t="s">
        <v>69</v>
      </c>
      <c r="B31" s="38">
        <f ca="1">PV(B29,B28,-B25)</f>
        <v>-532.15608846922294</v>
      </c>
      <c r="G31">
        <v>12</v>
      </c>
      <c r="H31">
        <v>-66.501354913502752</v>
      </c>
      <c r="I31">
        <f t="shared" si="0"/>
        <v>1</v>
      </c>
    </row>
    <row r="32" spans="1:10" x14ac:dyDescent="0.15">
      <c r="A32" s="44" t="s">
        <v>71</v>
      </c>
      <c r="B32" s="38">
        <f ca="1">PV(B29,B28,-B26)</f>
        <v>959.26301942722091</v>
      </c>
      <c r="G32">
        <v>13</v>
      </c>
      <c r="H32">
        <v>-26.986756386987778</v>
      </c>
      <c r="I32">
        <f t="shared" si="0"/>
        <v>1</v>
      </c>
    </row>
    <row r="33" spans="1:9" x14ac:dyDescent="0.15">
      <c r="A33" s="44" t="s">
        <v>72</v>
      </c>
      <c r="B33" s="34">
        <f ca="1">B24+B31+B32+B30</f>
        <v>-316.95855847450218</v>
      </c>
      <c r="G33">
        <v>14</v>
      </c>
      <c r="H33">
        <v>399.60780040452113</v>
      </c>
      <c r="I33">
        <f t="shared" si="0"/>
        <v>0</v>
      </c>
    </row>
    <row r="34" spans="1:9" x14ac:dyDescent="0.15">
      <c r="G34">
        <v>15</v>
      </c>
      <c r="H34">
        <v>-12.402890772125204</v>
      </c>
      <c r="I34">
        <f t="shared" si="0"/>
        <v>1</v>
      </c>
    </row>
    <row r="35" spans="1:9" x14ac:dyDescent="0.15">
      <c r="G35">
        <v>16</v>
      </c>
      <c r="H35">
        <v>228.51630440290666</v>
      </c>
      <c r="I35">
        <f t="shared" si="0"/>
        <v>0</v>
      </c>
    </row>
    <row r="36" spans="1:9" x14ac:dyDescent="0.15">
      <c r="G36">
        <v>17</v>
      </c>
      <c r="H36">
        <v>116.15947841216567</v>
      </c>
      <c r="I36">
        <f t="shared" si="0"/>
        <v>0</v>
      </c>
    </row>
    <row r="37" spans="1:9" x14ac:dyDescent="0.15">
      <c r="G37">
        <v>18</v>
      </c>
      <c r="H37">
        <v>113.61414726754887</v>
      </c>
      <c r="I37">
        <f t="shared" si="0"/>
        <v>0</v>
      </c>
    </row>
    <row r="38" spans="1:9" x14ac:dyDescent="0.15">
      <c r="G38">
        <v>19</v>
      </c>
      <c r="H38">
        <v>365.96235213051477</v>
      </c>
      <c r="I38">
        <f t="shared" si="0"/>
        <v>0</v>
      </c>
    </row>
    <row r="39" spans="1:9" x14ac:dyDescent="0.15">
      <c r="G39">
        <v>20</v>
      </c>
      <c r="H39">
        <v>481.54692071954901</v>
      </c>
      <c r="I39">
        <f t="shared" si="0"/>
        <v>0</v>
      </c>
    </row>
    <row r="40" spans="1:9" x14ac:dyDescent="0.15">
      <c r="G40">
        <v>21</v>
      </c>
      <c r="H40">
        <v>275.80746217393619</v>
      </c>
      <c r="I40">
        <f t="shared" si="0"/>
        <v>0</v>
      </c>
    </row>
    <row r="41" spans="1:9" x14ac:dyDescent="0.15">
      <c r="G41">
        <v>22</v>
      </c>
      <c r="H41">
        <v>262.51697779881346</v>
      </c>
      <c r="I41">
        <f t="shared" si="0"/>
        <v>0</v>
      </c>
    </row>
    <row r="42" spans="1:9" x14ac:dyDescent="0.15">
      <c r="G42">
        <v>23</v>
      </c>
      <c r="H42">
        <v>237.22444732272146</v>
      </c>
      <c r="I42">
        <f t="shared" si="0"/>
        <v>0</v>
      </c>
    </row>
    <row r="43" spans="1:9" x14ac:dyDescent="0.15">
      <c r="G43">
        <v>24</v>
      </c>
      <c r="H43">
        <v>382.83612375870109</v>
      </c>
      <c r="I43">
        <f t="shared" si="0"/>
        <v>0</v>
      </c>
    </row>
    <row r="44" spans="1:9" x14ac:dyDescent="0.15">
      <c r="G44">
        <v>25</v>
      </c>
      <c r="H44">
        <v>-264.42396255648697</v>
      </c>
      <c r="I44">
        <f t="shared" si="0"/>
        <v>1</v>
      </c>
    </row>
    <row r="45" spans="1:9" x14ac:dyDescent="0.15">
      <c r="G45">
        <v>26</v>
      </c>
      <c r="H45">
        <v>273.28603930246527</v>
      </c>
      <c r="I45">
        <f t="shared" si="0"/>
        <v>0</v>
      </c>
    </row>
    <row r="46" spans="1:9" x14ac:dyDescent="0.15">
      <c r="G46">
        <v>27</v>
      </c>
      <c r="H46">
        <v>168.208948168907</v>
      </c>
      <c r="I46">
        <f t="shared" si="0"/>
        <v>0</v>
      </c>
    </row>
    <row r="47" spans="1:9" x14ac:dyDescent="0.15">
      <c r="G47">
        <v>28</v>
      </c>
      <c r="H47">
        <v>460.91912053597463</v>
      </c>
      <c r="I47">
        <f t="shared" si="0"/>
        <v>0</v>
      </c>
    </row>
    <row r="48" spans="1:9" x14ac:dyDescent="0.15">
      <c r="G48">
        <v>29</v>
      </c>
      <c r="H48">
        <v>45.374342785277243</v>
      </c>
      <c r="I48">
        <f t="shared" si="0"/>
        <v>0</v>
      </c>
    </row>
    <row r="49" spans="7:9" x14ac:dyDescent="0.15">
      <c r="G49">
        <v>30</v>
      </c>
      <c r="H49">
        <v>-137.64533292141914</v>
      </c>
      <c r="I49">
        <f t="shared" si="0"/>
        <v>1</v>
      </c>
    </row>
  </sheetData>
  <phoneticPr fontId="1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J1930"/>
  <sheetViews>
    <sheetView topLeftCell="G1" zoomScale="150" zoomScaleNormal="150" zoomScalePageLayoutView="150" workbookViewId="0">
      <selection activeCell="K12" sqref="K12"/>
    </sheetView>
  </sheetViews>
  <sheetFormatPr baseColWidth="10" defaultColWidth="8.83203125" defaultRowHeight="13" x14ac:dyDescent="0.15"/>
  <cols>
    <col min="1" max="1" width="17" customWidth="1"/>
    <col min="2" max="2" width="9.1640625" customWidth="1"/>
    <col min="3" max="3" width="4" bestFit="1" customWidth="1"/>
    <col min="4" max="4" width="4.6640625" bestFit="1" customWidth="1"/>
    <col min="5" max="5" width="4.5" bestFit="1" customWidth="1"/>
    <col min="7" max="7" width="20" customWidth="1"/>
  </cols>
  <sheetData>
    <row r="1" spans="1:9" x14ac:dyDescent="0.15">
      <c r="A1" s="33" t="s">
        <v>44</v>
      </c>
      <c r="G1" s="25" t="s">
        <v>109</v>
      </c>
      <c r="H1" s="33" t="s">
        <v>74</v>
      </c>
      <c r="I1" s="33" t="s">
        <v>123</v>
      </c>
    </row>
    <row r="2" spans="1:9" x14ac:dyDescent="0.15">
      <c r="A2" s="32" t="s">
        <v>45</v>
      </c>
      <c r="B2" s="34">
        <v>-800</v>
      </c>
      <c r="G2" s="37" t="s">
        <v>51</v>
      </c>
      <c r="H2">
        <f>AVERAGE(H20:H1930)</f>
        <v>63.630284338412373</v>
      </c>
      <c r="I2">
        <f>AVERAGE(I20:I1930)</f>
        <v>0.43066457352171639</v>
      </c>
    </row>
    <row r="3" spans="1:9" x14ac:dyDescent="0.15">
      <c r="A3" s="32" t="s">
        <v>46</v>
      </c>
      <c r="B3" s="34"/>
      <c r="G3" s="37" t="s">
        <v>52</v>
      </c>
      <c r="H3">
        <f>H5/SQRT(H11)</f>
        <v>5.6251489299603561</v>
      </c>
      <c r="I3">
        <f>I5/SQRT(I11)</f>
        <v>1.1330184830381847E-2</v>
      </c>
    </row>
    <row r="4" spans="1:9" x14ac:dyDescent="0.15">
      <c r="A4" s="44" t="s">
        <v>20</v>
      </c>
      <c r="B4" s="34">
        <v>-100</v>
      </c>
      <c r="G4" s="37" t="s">
        <v>53</v>
      </c>
      <c r="H4">
        <f>MEDIAN(H20:H1930)</f>
        <v>36.062281833972165</v>
      </c>
      <c r="I4">
        <f>MEDIAN(I20:I1930)</f>
        <v>0</v>
      </c>
    </row>
    <row r="5" spans="1:9" x14ac:dyDescent="0.15">
      <c r="A5" s="44" t="s">
        <v>22</v>
      </c>
      <c r="B5" s="34">
        <v>10</v>
      </c>
      <c r="G5" s="37" t="s">
        <v>54</v>
      </c>
      <c r="H5">
        <f>STDEV(H20:H1930)</f>
        <v>245.90330665806724</v>
      </c>
      <c r="I5">
        <f>STDEV(I20:I1930)</f>
        <v>0.49529887111052973</v>
      </c>
    </row>
    <row r="6" spans="1:9" x14ac:dyDescent="0.15">
      <c r="A6" s="32" t="s">
        <v>70</v>
      </c>
      <c r="B6" s="34"/>
      <c r="G6" s="37" t="s">
        <v>55</v>
      </c>
      <c r="H6">
        <f>VAR(H20:H1930)</f>
        <v>60468.436225371457</v>
      </c>
      <c r="I6">
        <f>VAR(I20:I1930)</f>
        <v>0.24532097172336514</v>
      </c>
    </row>
    <row r="7" spans="1:9" x14ac:dyDescent="0.15">
      <c r="A7" s="44" t="s">
        <v>20</v>
      </c>
      <c r="B7" s="34">
        <v>300</v>
      </c>
      <c r="G7" s="37" t="s">
        <v>56</v>
      </c>
      <c r="H7">
        <f>H9-H8</f>
        <v>1596.0698282215176</v>
      </c>
      <c r="I7">
        <f>I9-I8</f>
        <v>1</v>
      </c>
    </row>
    <row r="8" spans="1:9" x14ac:dyDescent="0.15">
      <c r="A8" s="44" t="s">
        <v>22</v>
      </c>
      <c r="B8" s="34">
        <v>50</v>
      </c>
      <c r="G8" s="37" t="s">
        <v>57</v>
      </c>
      <c r="H8">
        <f>MIN(H20:H1930)</f>
        <v>-606.14939213137325</v>
      </c>
      <c r="I8">
        <f>MIN(I20:I1930)</f>
        <v>0</v>
      </c>
    </row>
    <row r="9" spans="1:9" x14ac:dyDescent="0.15">
      <c r="A9" s="32" t="s">
        <v>47</v>
      </c>
      <c r="B9" s="34"/>
      <c r="G9" s="37" t="s">
        <v>58</v>
      </c>
      <c r="H9">
        <f>MAX(H20:H1930)</f>
        <v>989.92043609014422</v>
      </c>
      <c r="I9">
        <f>MAX(I20:I1930)</f>
        <v>1</v>
      </c>
    </row>
    <row r="10" spans="1:9" x14ac:dyDescent="0.15">
      <c r="A10" s="44" t="s">
        <v>10</v>
      </c>
      <c r="B10" s="34">
        <v>90</v>
      </c>
      <c r="G10" s="37" t="s">
        <v>59</v>
      </c>
      <c r="H10">
        <f>SUM(H20:H1930)</f>
        <v>121597.47337070605</v>
      </c>
      <c r="I10">
        <f>SUM(I20:I1930)</f>
        <v>823</v>
      </c>
    </row>
    <row r="11" spans="1:9" x14ac:dyDescent="0.15">
      <c r="A11" s="44" t="s">
        <v>11</v>
      </c>
      <c r="B11" s="34">
        <v>100</v>
      </c>
      <c r="G11" s="37" t="s">
        <v>60</v>
      </c>
      <c r="H11">
        <f>COUNT(H20:H1930)</f>
        <v>1911</v>
      </c>
      <c r="I11">
        <f>COUNT(I20:I1930)</f>
        <v>1911</v>
      </c>
    </row>
    <row r="12" spans="1:9" x14ac:dyDescent="0.15">
      <c r="A12" s="32" t="s">
        <v>48</v>
      </c>
      <c r="B12" s="25" t="s">
        <v>35</v>
      </c>
      <c r="C12" s="25" t="s">
        <v>38</v>
      </c>
      <c r="D12" s="25" t="s">
        <v>36</v>
      </c>
      <c r="E12" s="25" t="s">
        <v>49</v>
      </c>
      <c r="G12" s="37" t="s">
        <v>61</v>
      </c>
      <c r="H12">
        <v>0.05</v>
      </c>
      <c r="I12">
        <v>1.05</v>
      </c>
    </row>
    <row r="13" spans="1:9" x14ac:dyDescent="0.15">
      <c r="B13" s="35">
        <v>0.3</v>
      </c>
      <c r="C13">
        <v>0</v>
      </c>
      <c r="D13">
        <v>0.3</v>
      </c>
      <c r="E13">
        <v>4</v>
      </c>
      <c r="G13" s="37" t="s">
        <v>62</v>
      </c>
      <c r="H13">
        <f>_xlfn.T.INV(1-H12/2,H11-1)</f>
        <v>1.9612067854192154</v>
      </c>
      <c r="I13">
        <f>_xlfn.T.INV(1-I12/2,I11-1)</f>
        <v>-6.271501845854302E-2</v>
      </c>
    </row>
    <row r="14" spans="1:9" x14ac:dyDescent="0.15">
      <c r="B14" s="35">
        <v>0.4</v>
      </c>
      <c r="C14">
        <v>0.3</v>
      </c>
      <c r="D14">
        <v>0.7</v>
      </c>
      <c r="E14">
        <v>5</v>
      </c>
      <c r="G14" s="37" t="s">
        <v>63</v>
      </c>
      <c r="H14">
        <f>H13*H3</f>
        <v>11.032080250431889</v>
      </c>
      <c r="I14">
        <f>I13*I3</f>
        <v>-7.1057275077610169E-4</v>
      </c>
    </row>
    <row r="15" spans="1:9" x14ac:dyDescent="0.15">
      <c r="B15" s="35">
        <v>0.1</v>
      </c>
      <c r="C15">
        <v>0.7</v>
      </c>
      <c r="D15">
        <v>0.8</v>
      </c>
      <c r="E15">
        <v>6</v>
      </c>
      <c r="G15" s="37" t="s">
        <v>65</v>
      </c>
      <c r="H15">
        <f>H2-H14</f>
        <v>52.598204087980484</v>
      </c>
      <c r="I15">
        <f>I2-I14</f>
        <v>0.43137514627249252</v>
      </c>
    </row>
    <row r="16" spans="1:9" x14ac:dyDescent="0.15">
      <c r="B16" s="35">
        <v>0.2</v>
      </c>
      <c r="C16">
        <v>0.8</v>
      </c>
      <c r="D16">
        <v>1</v>
      </c>
      <c r="E16">
        <v>7</v>
      </c>
      <c r="G16" s="37" t="s">
        <v>64</v>
      </c>
      <c r="H16">
        <f>H2+H14</f>
        <v>74.66236458884427</v>
      </c>
      <c r="I16">
        <f>I2+I14</f>
        <v>0.42995400077094026</v>
      </c>
    </row>
    <row r="17" spans="1:10" x14ac:dyDescent="0.15">
      <c r="A17" s="32" t="s">
        <v>50</v>
      </c>
    </row>
    <row r="18" spans="1:10" x14ac:dyDescent="0.15">
      <c r="A18" s="44" t="s">
        <v>66</v>
      </c>
      <c r="B18" s="35">
        <v>5</v>
      </c>
      <c r="G18" s="33" t="s">
        <v>73</v>
      </c>
    </row>
    <row r="19" spans="1:10" x14ac:dyDescent="0.15">
      <c r="A19" s="44" t="s">
        <v>67</v>
      </c>
      <c r="B19" s="35">
        <v>1.5</v>
      </c>
      <c r="H19" s="34">
        <f ca="1">B33</f>
        <v>-120.30746429784099</v>
      </c>
    </row>
    <row r="20" spans="1:10" x14ac:dyDescent="0.15">
      <c r="A20" s="44" t="s">
        <v>10</v>
      </c>
      <c r="B20" s="36">
        <v>0.06</v>
      </c>
      <c r="G20">
        <v>1</v>
      </c>
      <c r="H20">
        <f t="dataTable" ref="H20:H1930" dt2D="0" dtr="0" r1="G19" ca="1"/>
        <v>-247.93929545537361</v>
      </c>
      <c r="I20">
        <f>IF(H20&lt;0,1,0)</f>
        <v>1</v>
      </c>
      <c r="J20" s="30" t="s">
        <v>124</v>
      </c>
    </row>
    <row r="21" spans="1:10" x14ac:dyDescent="0.15">
      <c r="A21" s="44" t="s">
        <v>11</v>
      </c>
      <c r="B21" s="36">
        <v>0.09</v>
      </c>
      <c r="G21">
        <v>2</v>
      </c>
      <c r="H21">
        <v>291.5410796007082</v>
      </c>
      <c r="I21">
        <f t="shared" ref="I21:I84" si="0">IF(H21&lt;0,1,0)</f>
        <v>0</v>
      </c>
    </row>
    <row r="22" spans="1:10" x14ac:dyDescent="0.15">
      <c r="G22">
        <v>3</v>
      </c>
      <c r="H22">
        <v>31.796046198772089</v>
      </c>
      <c r="I22">
        <f t="shared" si="0"/>
        <v>0</v>
      </c>
    </row>
    <row r="23" spans="1:10" x14ac:dyDescent="0.15">
      <c r="A23" s="33" t="s">
        <v>98</v>
      </c>
      <c r="G23">
        <v>4</v>
      </c>
      <c r="H23">
        <v>272.60538962524913</v>
      </c>
      <c r="I23">
        <f t="shared" si="0"/>
        <v>0</v>
      </c>
    </row>
    <row r="24" spans="1:10" x14ac:dyDescent="0.15">
      <c r="A24" s="44" t="s">
        <v>45</v>
      </c>
      <c r="B24" s="34">
        <f>B2</f>
        <v>-800</v>
      </c>
      <c r="G24">
        <v>5</v>
      </c>
      <c r="H24">
        <v>75.686235893097802</v>
      </c>
      <c r="I24">
        <f t="shared" si="0"/>
        <v>0</v>
      </c>
    </row>
    <row r="25" spans="1:10" x14ac:dyDescent="0.15">
      <c r="A25" s="44" t="s">
        <v>46</v>
      </c>
      <c r="B25">
        <f ca="1">NORMINV(RAND(),B4,B5)</f>
        <v>-119.67552042262265</v>
      </c>
      <c r="G25">
        <v>6</v>
      </c>
      <c r="H25">
        <v>283.88508439988379</v>
      </c>
      <c r="I25">
        <f t="shared" si="0"/>
        <v>0</v>
      </c>
    </row>
    <row r="26" spans="1:10" x14ac:dyDescent="0.15">
      <c r="A26" s="44" t="s">
        <v>70</v>
      </c>
      <c r="B26">
        <f ca="1">NORMINV(RAND(),B7,B8)</f>
        <v>276.24179938464596</v>
      </c>
      <c r="G26">
        <v>7</v>
      </c>
      <c r="H26">
        <v>167.71640388666845</v>
      </c>
      <c r="I26">
        <f t="shared" si="0"/>
        <v>0</v>
      </c>
    </row>
    <row r="27" spans="1:10" x14ac:dyDescent="0.15">
      <c r="A27" s="44" t="s">
        <v>47</v>
      </c>
      <c r="B27" s="34">
        <f ca="1">B10+(B11-B10)*RAND()</f>
        <v>96.252340165567063</v>
      </c>
      <c r="G27">
        <v>8</v>
      </c>
      <c r="H27">
        <v>270.0385269024768</v>
      </c>
      <c r="I27">
        <f t="shared" si="0"/>
        <v>0</v>
      </c>
    </row>
    <row r="28" spans="1:10" x14ac:dyDescent="0.15">
      <c r="A28" s="44" t="s">
        <v>48</v>
      </c>
      <c r="B28">
        <f ca="1">VLOOKUP(RAND(),C13:E16,3)</f>
        <v>5</v>
      </c>
      <c r="G28">
        <v>9</v>
      </c>
      <c r="H28">
        <v>169.42835565582629</v>
      </c>
      <c r="I28">
        <f t="shared" si="0"/>
        <v>0</v>
      </c>
    </row>
    <row r="29" spans="1:10" x14ac:dyDescent="0.15">
      <c r="A29" s="44" t="s">
        <v>50</v>
      </c>
      <c r="B29">
        <f ca="1">BETAINV(RAND(),B18,B19,B20,B21)</f>
        <v>8.5677656292855814E-2</v>
      </c>
      <c r="G29">
        <v>10</v>
      </c>
      <c r="H29">
        <v>16.425549024344868</v>
      </c>
      <c r="I29">
        <f t="shared" si="0"/>
        <v>0</v>
      </c>
    </row>
    <row r="30" spans="1:10" x14ac:dyDescent="0.15">
      <c r="A30" s="44" t="s">
        <v>68</v>
      </c>
      <c r="B30" s="38">
        <f ca="1">PV(B29,B28,,-B27)</f>
        <v>63.812652521100141</v>
      </c>
      <c r="G30">
        <v>11</v>
      </c>
      <c r="H30">
        <v>414.90996858690812</v>
      </c>
      <c r="I30">
        <f t="shared" si="0"/>
        <v>0</v>
      </c>
    </row>
    <row r="31" spans="1:10" x14ac:dyDescent="0.15">
      <c r="A31" s="44" t="s">
        <v>69</v>
      </c>
      <c r="B31" s="38">
        <f ca="1">PV(B29,B28,-B25)</f>
        <v>-470.76385813189893</v>
      </c>
      <c r="G31">
        <v>12</v>
      </c>
      <c r="H31">
        <v>-31.304008676563626</v>
      </c>
      <c r="I31">
        <f t="shared" si="0"/>
        <v>1</v>
      </c>
    </row>
    <row r="32" spans="1:10" x14ac:dyDescent="0.15">
      <c r="A32" s="44" t="s">
        <v>71</v>
      </c>
      <c r="B32" s="38">
        <f ca="1">PV(B29,B28,-B26)</f>
        <v>1086.6437413129577</v>
      </c>
      <c r="G32">
        <v>13</v>
      </c>
      <c r="H32">
        <v>-52.916709335292595</v>
      </c>
      <c r="I32">
        <f t="shared" si="0"/>
        <v>1</v>
      </c>
    </row>
    <row r="33" spans="1:9" x14ac:dyDescent="0.15">
      <c r="A33" s="44" t="s">
        <v>72</v>
      </c>
      <c r="B33" s="34">
        <f ca="1">B24+B31+B32+B30</f>
        <v>-120.30746429784099</v>
      </c>
      <c r="G33">
        <v>14</v>
      </c>
      <c r="H33">
        <v>958.68536889260929</v>
      </c>
      <c r="I33">
        <f t="shared" si="0"/>
        <v>0</v>
      </c>
    </row>
    <row r="34" spans="1:9" x14ac:dyDescent="0.15">
      <c r="G34">
        <v>15</v>
      </c>
      <c r="H34">
        <v>123.33494929820608</v>
      </c>
      <c r="I34">
        <f t="shared" si="0"/>
        <v>0</v>
      </c>
    </row>
    <row r="35" spans="1:9" x14ac:dyDescent="0.15">
      <c r="G35">
        <v>16</v>
      </c>
      <c r="H35">
        <v>-123.95834523269596</v>
      </c>
      <c r="I35">
        <f t="shared" si="0"/>
        <v>1</v>
      </c>
    </row>
    <row r="36" spans="1:9" x14ac:dyDescent="0.15">
      <c r="G36">
        <v>17</v>
      </c>
      <c r="H36">
        <v>-63.953282458219533</v>
      </c>
      <c r="I36">
        <f t="shared" si="0"/>
        <v>1</v>
      </c>
    </row>
    <row r="37" spans="1:9" x14ac:dyDescent="0.15">
      <c r="G37">
        <v>18</v>
      </c>
      <c r="H37">
        <v>119.18873577610123</v>
      </c>
      <c r="I37">
        <f t="shared" si="0"/>
        <v>0</v>
      </c>
    </row>
    <row r="38" spans="1:9" x14ac:dyDescent="0.15">
      <c r="G38">
        <v>19</v>
      </c>
      <c r="H38">
        <v>132.92940487449408</v>
      </c>
      <c r="I38">
        <f t="shared" si="0"/>
        <v>0</v>
      </c>
    </row>
    <row r="39" spans="1:9" x14ac:dyDescent="0.15">
      <c r="G39">
        <v>20</v>
      </c>
      <c r="H39">
        <v>-86.679015632508893</v>
      </c>
      <c r="I39">
        <f t="shared" si="0"/>
        <v>1</v>
      </c>
    </row>
    <row r="40" spans="1:9" x14ac:dyDescent="0.15">
      <c r="G40">
        <v>21</v>
      </c>
      <c r="H40">
        <v>36.991695188869485</v>
      </c>
      <c r="I40">
        <f t="shared" si="0"/>
        <v>0</v>
      </c>
    </row>
    <row r="41" spans="1:9" x14ac:dyDescent="0.15">
      <c r="G41">
        <v>22</v>
      </c>
      <c r="H41">
        <v>110.03802274464095</v>
      </c>
      <c r="I41">
        <f t="shared" si="0"/>
        <v>0</v>
      </c>
    </row>
    <row r="42" spans="1:9" x14ac:dyDescent="0.15">
      <c r="G42">
        <v>23</v>
      </c>
      <c r="H42">
        <v>498.57276054601454</v>
      </c>
      <c r="I42">
        <f t="shared" si="0"/>
        <v>0</v>
      </c>
    </row>
    <row r="43" spans="1:9" x14ac:dyDescent="0.15">
      <c r="G43">
        <v>24</v>
      </c>
      <c r="H43">
        <v>-53.484762200601089</v>
      </c>
      <c r="I43">
        <f t="shared" si="0"/>
        <v>1</v>
      </c>
    </row>
    <row r="44" spans="1:9" x14ac:dyDescent="0.15">
      <c r="G44">
        <v>25</v>
      </c>
      <c r="H44">
        <v>96.90636521689089</v>
      </c>
      <c r="I44">
        <f t="shared" si="0"/>
        <v>0</v>
      </c>
    </row>
    <row r="45" spans="1:9" x14ac:dyDescent="0.15">
      <c r="G45">
        <v>26</v>
      </c>
      <c r="H45">
        <v>-16.466615356127086</v>
      </c>
      <c r="I45">
        <f t="shared" si="0"/>
        <v>1</v>
      </c>
    </row>
    <row r="46" spans="1:9" x14ac:dyDescent="0.15">
      <c r="G46">
        <v>27</v>
      </c>
      <c r="H46">
        <v>559.91706034492188</v>
      </c>
      <c r="I46">
        <f t="shared" si="0"/>
        <v>0</v>
      </c>
    </row>
    <row r="47" spans="1:9" x14ac:dyDescent="0.15">
      <c r="G47">
        <v>28</v>
      </c>
      <c r="H47">
        <v>331.40799662435205</v>
      </c>
      <c r="I47">
        <f t="shared" si="0"/>
        <v>0</v>
      </c>
    </row>
    <row r="48" spans="1:9" x14ac:dyDescent="0.15">
      <c r="G48">
        <v>29</v>
      </c>
      <c r="H48">
        <v>235.02736487752986</v>
      </c>
      <c r="I48">
        <f t="shared" si="0"/>
        <v>0</v>
      </c>
    </row>
    <row r="49" spans="7:9" x14ac:dyDescent="0.15">
      <c r="G49">
        <v>30</v>
      </c>
      <c r="H49">
        <v>-269.49319297210019</v>
      </c>
      <c r="I49">
        <f t="shared" si="0"/>
        <v>1</v>
      </c>
    </row>
    <row r="50" spans="7:9" x14ac:dyDescent="0.15">
      <c r="G50">
        <v>31</v>
      </c>
      <c r="H50">
        <v>8.6154978788937839</v>
      </c>
      <c r="I50">
        <f t="shared" si="0"/>
        <v>0</v>
      </c>
    </row>
    <row r="51" spans="7:9" x14ac:dyDescent="0.15">
      <c r="G51">
        <v>32</v>
      </c>
      <c r="H51">
        <v>239.97616929448736</v>
      </c>
      <c r="I51">
        <f t="shared" si="0"/>
        <v>0</v>
      </c>
    </row>
    <row r="52" spans="7:9" x14ac:dyDescent="0.15">
      <c r="G52">
        <v>33</v>
      </c>
      <c r="H52">
        <v>253.54256214469149</v>
      </c>
      <c r="I52">
        <f t="shared" si="0"/>
        <v>0</v>
      </c>
    </row>
    <row r="53" spans="7:9" x14ac:dyDescent="0.15">
      <c r="G53">
        <v>34</v>
      </c>
      <c r="H53">
        <v>280.41648864593895</v>
      </c>
      <c r="I53">
        <f t="shared" si="0"/>
        <v>0</v>
      </c>
    </row>
    <row r="54" spans="7:9" x14ac:dyDescent="0.15">
      <c r="G54">
        <v>35</v>
      </c>
      <c r="H54">
        <v>316.25648298760768</v>
      </c>
      <c r="I54">
        <f t="shared" si="0"/>
        <v>0</v>
      </c>
    </row>
    <row r="55" spans="7:9" x14ac:dyDescent="0.15">
      <c r="G55">
        <v>36</v>
      </c>
      <c r="H55">
        <v>81.09668205951499</v>
      </c>
      <c r="I55">
        <f t="shared" si="0"/>
        <v>0</v>
      </c>
    </row>
    <row r="56" spans="7:9" x14ac:dyDescent="0.15">
      <c r="G56">
        <v>37</v>
      </c>
      <c r="H56">
        <v>727.80319235795855</v>
      </c>
      <c r="I56">
        <f t="shared" si="0"/>
        <v>0</v>
      </c>
    </row>
    <row r="57" spans="7:9" x14ac:dyDescent="0.15">
      <c r="G57">
        <v>38</v>
      </c>
      <c r="H57">
        <v>-178.93352942510973</v>
      </c>
      <c r="I57">
        <f t="shared" si="0"/>
        <v>1</v>
      </c>
    </row>
    <row r="58" spans="7:9" x14ac:dyDescent="0.15">
      <c r="G58">
        <v>39</v>
      </c>
      <c r="H58">
        <v>-404.55374119046564</v>
      </c>
      <c r="I58">
        <f t="shared" si="0"/>
        <v>1</v>
      </c>
    </row>
    <row r="59" spans="7:9" x14ac:dyDescent="0.15">
      <c r="G59">
        <v>40</v>
      </c>
      <c r="H59">
        <v>-281.0441540837756</v>
      </c>
      <c r="I59">
        <f t="shared" si="0"/>
        <v>1</v>
      </c>
    </row>
    <row r="60" spans="7:9" x14ac:dyDescent="0.15">
      <c r="G60">
        <v>41</v>
      </c>
      <c r="H60">
        <v>-170.65729093999613</v>
      </c>
      <c r="I60">
        <f t="shared" si="0"/>
        <v>1</v>
      </c>
    </row>
    <row r="61" spans="7:9" x14ac:dyDescent="0.15">
      <c r="G61">
        <v>42</v>
      </c>
      <c r="H61">
        <v>494.52142393135631</v>
      </c>
      <c r="I61">
        <f t="shared" si="0"/>
        <v>0</v>
      </c>
    </row>
    <row r="62" spans="7:9" x14ac:dyDescent="0.15">
      <c r="G62">
        <v>43</v>
      </c>
      <c r="H62">
        <v>69.343794960875414</v>
      </c>
      <c r="I62">
        <f t="shared" si="0"/>
        <v>0</v>
      </c>
    </row>
    <row r="63" spans="7:9" x14ac:dyDescent="0.15">
      <c r="G63">
        <v>44</v>
      </c>
      <c r="H63">
        <v>265.45061394407503</v>
      </c>
      <c r="I63">
        <f t="shared" si="0"/>
        <v>0</v>
      </c>
    </row>
    <row r="64" spans="7:9" x14ac:dyDescent="0.15">
      <c r="G64">
        <v>45</v>
      </c>
      <c r="H64">
        <v>-157.80373582688301</v>
      </c>
      <c r="I64">
        <f t="shared" si="0"/>
        <v>1</v>
      </c>
    </row>
    <row r="65" spans="7:9" x14ac:dyDescent="0.15">
      <c r="G65">
        <v>46</v>
      </c>
      <c r="H65">
        <v>-60.946095563190227</v>
      </c>
      <c r="I65">
        <f t="shared" si="0"/>
        <v>1</v>
      </c>
    </row>
    <row r="66" spans="7:9" x14ac:dyDescent="0.15">
      <c r="G66">
        <v>47</v>
      </c>
      <c r="H66">
        <v>272.55651252819092</v>
      </c>
      <c r="I66">
        <f t="shared" si="0"/>
        <v>0</v>
      </c>
    </row>
    <row r="67" spans="7:9" x14ac:dyDescent="0.15">
      <c r="G67">
        <v>48</v>
      </c>
      <c r="H67">
        <v>382.47893308201623</v>
      </c>
      <c r="I67">
        <f t="shared" si="0"/>
        <v>0</v>
      </c>
    </row>
    <row r="68" spans="7:9" x14ac:dyDescent="0.15">
      <c r="G68">
        <v>49</v>
      </c>
      <c r="H68">
        <v>-34.492941203110007</v>
      </c>
      <c r="I68">
        <f t="shared" si="0"/>
        <v>1</v>
      </c>
    </row>
    <row r="69" spans="7:9" x14ac:dyDescent="0.15">
      <c r="G69">
        <v>50</v>
      </c>
      <c r="H69">
        <v>114.99526610531682</v>
      </c>
      <c r="I69">
        <f t="shared" si="0"/>
        <v>0</v>
      </c>
    </row>
    <row r="70" spans="7:9" x14ac:dyDescent="0.15">
      <c r="G70">
        <v>51</v>
      </c>
      <c r="H70">
        <v>-118.36852464775842</v>
      </c>
      <c r="I70">
        <f t="shared" si="0"/>
        <v>1</v>
      </c>
    </row>
    <row r="71" spans="7:9" x14ac:dyDescent="0.15">
      <c r="G71">
        <v>52</v>
      </c>
      <c r="H71">
        <v>223.81368976784941</v>
      </c>
      <c r="I71">
        <f t="shared" si="0"/>
        <v>0</v>
      </c>
    </row>
    <row r="72" spans="7:9" x14ac:dyDescent="0.15">
      <c r="G72">
        <v>53</v>
      </c>
      <c r="H72">
        <v>70.341463712038845</v>
      </c>
      <c r="I72">
        <f t="shared" si="0"/>
        <v>0</v>
      </c>
    </row>
    <row r="73" spans="7:9" x14ac:dyDescent="0.15">
      <c r="G73">
        <v>54</v>
      </c>
      <c r="H73">
        <v>-33.965068200234867</v>
      </c>
      <c r="I73">
        <f t="shared" si="0"/>
        <v>1</v>
      </c>
    </row>
    <row r="74" spans="7:9" x14ac:dyDescent="0.15">
      <c r="G74">
        <v>55</v>
      </c>
      <c r="H74">
        <v>-61.094521943531134</v>
      </c>
      <c r="I74">
        <f t="shared" si="0"/>
        <v>1</v>
      </c>
    </row>
    <row r="75" spans="7:9" x14ac:dyDescent="0.15">
      <c r="G75">
        <v>56</v>
      </c>
      <c r="H75">
        <v>316.4838553994955</v>
      </c>
      <c r="I75">
        <f t="shared" si="0"/>
        <v>0</v>
      </c>
    </row>
    <row r="76" spans="7:9" x14ac:dyDescent="0.15">
      <c r="G76">
        <v>57</v>
      </c>
      <c r="H76">
        <v>-422.67955322586397</v>
      </c>
      <c r="I76">
        <f t="shared" si="0"/>
        <v>1</v>
      </c>
    </row>
    <row r="77" spans="7:9" x14ac:dyDescent="0.15">
      <c r="G77">
        <v>58</v>
      </c>
      <c r="H77">
        <v>213.23095600992269</v>
      </c>
      <c r="I77">
        <f t="shared" si="0"/>
        <v>0</v>
      </c>
    </row>
    <row r="78" spans="7:9" x14ac:dyDescent="0.15">
      <c r="G78">
        <v>59</v>
      </c>
      <c r="H78">
        <v>-124.58064766144378</v>
      </c>
      <c r="I78">
        <f t="shared" si="0"/>
        <v>1</v>
      </c>
    </row>
    <row r="79" spans="7:9" x14ac:dyDescent="0.15">
      <c r="G79">
        <v>60</v>
      </c>
      <c r="H79">
        <v>-235.90534006124125</v>
      </c>
      <c r="I79">
        <f t="shared" si="0"/>
        <v>1</v>
      </c>
    </row>
    <row r="80" spans="7:9" x14ac:dyDescent="0.15">
      <c r="G80">
        <v>61</v>
      </c>
      <c r="H80">
        <v>-95.134313594067621</v>
      </c>
      <c r="I80">
        <f t="shared" si="0"/>
        <v>1</v>
      </c>
    </row>
    <row r="81" spans="7:9" x14ac:dyDescent="0.15">
      <c r="G81">
        <v>62</v>
      </c>
      <c r="H81">
        <v>60.252653074107378</v>
      </c>
      <c r="I81">
        <f t="shared" si="0"/>
        <v>0</v>
      </c>
    </row>
    <row r="82" spans="7:9" x14ac:dyDescent="0.15">
      <c r="G82">
        <v>63</v>
      </c>
      <c r="H82">
        <v>-16.948039862985524</v>
      </c>
      <c r="I82">
        <f t="shared" si="0"/>
        <v>1</v>
      </c>
    </row>
    <row r="83" spans="7:9" x14ac:dyDescent="0.15">
      <c r="G83">
        <v>64</v>
      </c>
      <c r="H83">
        <v>-586.88303936486125</v>
      </c>
      <c r="I83">
        <f t="shared" si="0"/>
        <v>1</v>
      </c>
    </row>
    <row r="84" spans="7:9" x14ac:dyDescent="0.15">
      <c r="G84">
        <v>65</v>
      </c>
      <c r="H84">
        <v>503.83075514023636</v>
      </c>
      <c r="I84">
        <f t="shared" si="0"/>
        <v>0</v>
      </c>
    </row>
    <row r="85" spans="7:9" x14ac:dyDescent="0.15">
      <c r="G85">
        <v>66</v>
      </c>
      <c r="H85">
        <v>-218.53865602584929</v>
      </c>
      <c r="I85">
        <f t="shared" ref="I85:I148" si="1">IF(H85&lt;0,1,0)</f>
        <v>1</v>
      </c>
    </row>
    <row r="86" spans="7:9" x14ac:dyDescent="0.15">
      <c r="G86">
        <v>67</v>
      </c>
      <c r="H86">
        <v>96.791695050307752</v>
      </c>
      <c r="I86">
        <f t="shared" si="1"/>
        <v>0</v>
      </c>
    </row>
    <row r="87" spans="7:9" x14ac:dyDescent="0.15">
      <c r="G87">
        <v>68</v>
      </c>
      <c r="H87">
        <v>342.29492092218561</v>
      </c>
      <c r="I87">
        <f t="shared" si="1"/>
        <v>0</v>
      </c>
    </row>
    <row r="88" spans="7:9" x14ac:dyDescent="0.15">
      <c r="G88">
        <v>69</v>
      </c>
      <c r="H88">
        <v>-175.5224504209678</v>
      </c>
      <c r="I88">
        <f t="shared" si="1"/>
        <v>1</v>
      </c>
    </row>
    <row r="89" spans="7:9" x14ac:dyDescent="0.15">
      <c r="G89">
        <v>70</v>
      </c>
      <c r="H89">
        <v>-187.43598914747699</v>
      </c>
      <c r="I89">
        <f t="shared" si="1"/>
        <v>1</v>
      </c>
    </row>
    <row r="90" spans="7:9" x14ac:dyDescent="0.15">
      <c r="G90">
        <v>71</v>
      </c>
      <c r="H90">
        <v>147.32923452876966</v>
      </c>
      <c r="I90">
        <f t="shared" si="1"/>
        <v>0</v>
      </c>
    </row>
    <row r="91" spans="7:9" x14ac:dyDescent="0.15">
      <c r="G91">
        <v>72</v>
      </c>
      <c r="H91">
        <v>-53.098423182905705</v>
      </c>
      <c r="I91">
        <f t="shared" si="1"/>
        <v>1</v>
      </c>
    </row>
    <row r="92" spans="7:9" x14ac:dyDescent="0.15">
      <c r="G92">
        <v>73</v>
      </c>
      <c r="H92">
        <v>385.42276945081693</v>
      </c>
      <c r="I92">
        <f t="shared" si="1"/>
        <v>0</v>
      </c>
    </row>
    <row r="93" spans="7:9" x14ac:dyDescent="0.15">
      <c r="G93">
        <v>74</v>
      </c>
      <c r="H93">
        <v>241.95210020741018</v>
      </c>
      <c r="I93">
        <f t="shared" si="1"/>
        <v>0</v>
      </c>
    </row>
    <row r="94" spans="7:9" x14ac:dyDescent="0.15">
      <c r="G94">
        <v>75</v>
      </c>
      <c r="H94">
        <v>-143.08181485593144</v>
      </c>
      <c r="I94">
        <f t="shared" si="1"/>
        <v>1</v>
      </c>
    </row>
    <row r="95" spans="7:9" x14ac:dyDescent="0.15">
      <c r="G95">
        <v>76</v>
      </c>
      <c r="H95">
        <v>303.84673640713373</v>
      </c>
      <c r="I95">
        <f t="shared" si="1"/>
        <v>0</v>
      </c>
    </row>
    <row r="96" spans="7:9" x14ac:dyDescent="0.15">
      <c r="G96">
        <v>77</v>
      </c>
      <c r="H96">
        <v>-300.93919706060723</v>
      </c>
      <c r="I96">
        <f t="shared" si="1"/>
        <v>1</v>
      </c>
    </row>
    <row r="97" spans="7:9" x14ac:dyDescent="0.15">
      <c r="G97">
        <v>78</v>
      </c>
      <c r="H97">
        <v>-76.698650560796267</v>
      </c>
      <c r="I97">
        <f t="shared" si="1"/>
        <v>1</v>
      </c>
    </row>
    <row r="98" spans="7:9" x14ac:dyDescent="0.15">
      <c r="G98">
        <v>79</v>
      </c>
      <c r="H98">
        <v>-107.83894737364696</v>
      </c>
      <c r="I98">
        <f t="shared" si="1"/>
        <v>1</v>
      </c>
    </row>
    <row r="99" spans="7:9" x14ac:dyDescent="0.15">
      <c r="G99">
        <v>80</v>
      </c>
      <c r="H99">
        <v>409.55623535309678</v>
      </c>
      <c r="I99">
        <f t="shared" si="1"/>
        <v>0</v>
      </c>
    </row>
    <row r="100" spans="7:9" x14ac:dyDescent="0.15">
      <c r="G100">
        <v>81</v>
      </c>
      <c r="H100">
        <v>-338.22584501831386</v>
      </c>
      <c r="I100">
        <f t="shared" si="1"/>
        <v>1</v>
      </c>
    </row>
    <row r="101" spans="7:9" x14ac:dyDescent="0.15">
      <c r="G101">
        <v>82</v>
      </c>
      <c r="H101">
        <v>395.13194833964405</v>
      </c>
      <c r="I101">
        <f t="shared" si="1"/>
        <v>0</v>
      </c>
    </row>
    <row r="102" spans="7:9" x14ac:dyDescent="0.15">
      <c r="G102">
        <v>83</v>
      </c>
      <c r="H102">
        <v>-128.35182097538217</v>
      </c>
      <c r="I102">
        <f t="shared" si="1"/>
        <v>1</v>
      </c>
    </row>
    <row r="103" spans="7:9" x14ac:dyDescent="0.15">
      <c r="G103">
        <v>84</v>
      </c>
      <c r="H103">
        <v>-207.80820052759822</v>
      </c>
      <c r="I103">
        <f t="shared" si="1"/>
        <v>1</v>
      </c>
    </row>
    <row r="104" spans="7:9" x14ac:dyDescent="0.15">
      <c r="G104">
        <v>85</v>
      </c>
      <c r="H104">
        <v>-124.27599639190282</v>
      </c>
      <c r="I104">
        <f t="shared" si="1"/>
        <v>1</v>
      </c>
    </row>
    <row r="105" spans="7:9" x14ac:dyDescent="0.15">
      <c r="G105">
        <v>86</v>
      </c>
      <c r="H105">
        <v>147.92643457261471</v>
      </c>
      <c r="I105">
        <f t="shared" si="1"/>
        <v>0</v>
      </c>
    </row>
    <row r="106" spans="7:9" x14ac:dyDescent="0.15">
      <c r="G106">
        <v>87</v>
      </c>
      <c r="H106">
        <v>-45.470875787741861</v>
      </c>
      <c r="I106">
        <f t="shared" si="1"/>
        <v>1</v>
      </c>
    </row>
    <row r="107" spans="7:9" x14ac:dyDescent="0.15">
      <c r="G107">
        <v>88</v>
      </c>
      <c r="H107">
        <v>49.761048228502332</v>
      </c>
      <c r="I107">
        <f t="shared" si="1"/>
        <v>0</v>
      </c>
    </row>
    <row r="108" spans="7:9" x14ac:dyDescent="0.15">
      <c r="G108">
        <v>89</v>
      </c>
      <c r="H108">
        <v>-12.086760006163821</v>
      </c>
      <c r="I108">
        <f t="shared" si="1"/>
        <v>1</v>
      </c>
    </row>
    <row r="109" spans="7:9" x14ac:dyDescent="0.15">
      <c r="G109">
        <v>90</v>
      </c>
      <c r="H109">
        <v>357.60272342676899</v>
      </c>
      <c r="I109">
        <f t="shared" si="1"/>
        <v>0</v>
      </c>
    </row>
    <row r="110" spans="7:9" x14ac:dyDescent="0.15">
      <c r="G110">
        <v>91</v>
      </c>
      <c r="H110">
        <v>-61.438434898808268</v>
      </c>
      <c r="I110">
        <f t="shared" si="1"/>
        <v>1</v>
      </c>
    </row>
    <row r="111" spans="7:9" x14ac:dyDescent="0.15">
      <c r="G111">
        <v>92</v>
      </c>
      <c r="H111">
        <v>-93.33644858917684</v>
      </c>
      <c r="I111">
        <f t="shared" si="1"/>
        <v>1</v>
      </c>
    </row>
    <row r="112" spans="7:9" x14ac:dyDescent="0.15">
      <c r="G112">
        <v>93</v>
      </c>
      <c r="H112">
        <v>122.367936437032</v>
      </c>
      <c r="I112">
        <f t="shared" si="1"/>
        <v>0</v>
      </c>
    </row>
    <row r="113" spans="7:9" x14ac:dyDescent="0.15">
      <c r="G113">
        <v>94</v>
      </c>
      <c r="H113">
        <v>-173.42141010946807</v>
      </c>
      <c r="I113">
        <f t="shared" si="1"/>
        <v>1</v>
      </c>
    </row>
    <row r="114" spans="7:9" x14ac:dyDescent="0.15">
      <c r="G114">
        <v>95</v>
      </c>
      <c r="H114">
        <v>378.10799449091627</v>
      </c>
      <c r="I114">
        <f t="shared" si="1"/>
        <v>0</v>
      </c>
    </row>
    <row r="115" spans="7:9" x14ac:dyDescent="0.15">
      <c r="G115">
        <v>96</v>
      </c>
      <c r="H115">
        <v>-155.2868097655624</v>
      </c>
      <c r="I115">
        <f t="shared" si="1"/>
        <v>1</v>
      </c>
    </row>
    <row r="116" spans="7:9" x14ac:dyDescent="0.15">
      <c r="G116">
        <v>97</v>
      </c>
      <c r="H116">
        <v>-49.681885330155183</v>
      </c>
      <c r="I116">
        <f t="shared" si="1"/>
        <v>1</v>
      </c>
    </row>
    <row r="117" spans="7:9" x14ac:dyDescent="0.15">
      <c r="G117">
        <v>98</v>
      </c>
      <c r="H117">
        <v>236.24500568879492</v>
      </c>
      <c r="I117">
        <f t="shared" si="1"/>
        <v>0</v>
      </c>
    </row>
    <row r="118" spans="7:9" x14ac:dyDescent="0.15">
      <c r="G118">
        <v>99</v>
      </c>
      <c r="H118">
        <v>-142.11759858156094</v>
      </c>
      <c r="I118">
        <f t="shared" si="1"/>
        <v>1</v>
      </c>
    </row>
    <row r="119" spans="7:9" x14ac:dyDescent="0.15">
      <c r="G119">
        <v>100</v>
      </c>
      <c r="H119">
        <v>201.58541188270738</v>
      </c>
      <c r="I119">
        <f t="shared" si="1"/>
        <v>0</v>
      </c>
    </row>
    <row r="120" spans="7:9" x14ac:dyDescent="0.15">
      <c r="G120">
        <v>101</v>
      </c>
      <c r="H120">
        <v>-362.17587939235534</v>
      </c>
      <c r="I120">
        <f t="shared" si="1"/>
        <v>1</v>
      </c>
    </row>
    <row r="121" spans="7:9" x14ac:dyDescent="0.15">
      <c r="G121">
        <v>102</v>
      </c>
      <c r="H121">
        <v>-210.29932005727852</v>
      </c>
      <c r="I121">
        <f t="shared" si="1"/>
        <v>1</v>
      </c>
    </row>
    <row r="122" spans="7:9" x14ac:dyDescent="0.15">
      <c r="G122">
        <v>103</v>
      </c>
      <c r="H122">
        <v>88.804408239967501</v>
      </c>
      <c r="I122">
        <f t="shared" si="1"/>
        <v>0</v>
      </c>
    </row>
    <row r="123" spans="7:9" x14ac:dyDescent="0.15">
      <c r="G123">
        <v>104</v>
      </c>
      <c r="H123">
        <v>158.96702119485201</v>
      </c>
      <c r="I123">
        <f t="shared" si="1"/>
        <v>0</v>
      </c>
    </row>
    <row r="124" spans="7:9" x14ac:dyDescent="0.15">
      <c r="G124">
        <v>105</v>
      </c>
      <c r="H124">
        <v>415.90880537043165</v>
      </c>
      <c r="I124">
        <f t="shared" si="1"/>
        <v>0</v>
      </c>
    </row>
    <row r="125" spans="7:9" x14ac:dyDescent="0.15">
      <c r="G125">
        <v>106</v>
      </c>
      <c r="H125">
        <v>582.40927743371333</v>
      </c>
      <c r="I125">
        <f t="shared" si="1"/>
        <v>0</v>
      </c>
    </row>
    <row r="126" spans="7:9" x14ac:dyDescent="0.15">
      <c r="G126">
        <v>107</v>
      </c>
      <c r="H126">
        <v>312.51536169697562</v>
      </c>
      <c r="I126">
        <f t="shared" si="1"/>
        <v>0</v>
      </c>
    </row>
    <row r="127" spans="7:9" x14ac:dyDescent="0.15">
      <c r="G127">
        <v>108</v>
      </c>
      <c r="H127">
        <v>78.576986723081532</v>
      </c>
      <c r="I127">
        <f t="shared" si="1"/>
        <v>0</v>
      </c>
    </row>
    <row r="128" spans="7:9" x14ac:dyDescent="0.15">
      <c r="G128">
        <v>109</v>
      </c>
      <c r="H128">
        <v>-351.26644882411642</v>
      </c>
      <c r="I128">
        <f t="shared" si="1"/>
        <v>1</v>
      </c>
    </row>
    <row r="129" spans="7:9" x14ac:dyDescent="0.15">
      <c r="G129">
        <v>110</v>
      </c>
      <c r="H129">
        <v>-325.64456635321517</v>
      </c>
      <c r="I129">
        <f t="shared" si="1"/>
        <v>1</v>
      </c>
    </row>
    <row r="130" spans="7:9" x14ac:dyDescent="0.15">
      <c r="G130">
        <v>111</v>
      </c>
      <c r="H130">
        <v>-154.7996382539032</v>
      </c>
      <c r="I130">
        <f t="shared" si="1"/>
        <v>1</v>
      </c>
    </row>
    <row r="131" spans="7:9" x14ac:dyDescent="0.15">
      <c r="G131">
        <v>112</v>
      </c>
      <c r="H131">
        <v>-254.32519323076022</v>
      </c>
      <c r="I131">
        <f t="shared" si="1"/>
        <v>1</v>
      </c>
    </row>
    <row r="132" spans="7:9" x14ac:dyDescent="0.15">
      <c r="G132">
        <v>113</v>
      </c>
      <c r="H132">
        <v>19.777058421203279</v>
      </c>
      <c r="I132">
        <f t="shared" si="1"/>
        <v>0</v>
      </c>
    </row>
    <row r="133" spans="7:9" x14ac:dyDescent="0.15">
      <c r="G133">
        <v>114</v>
      </c>
      <c r="H133">
        <v>120.67497875713825</v>
      </c>
      <c r="I133">
        <f t="shared" si="1"/>
        <v>0</v>
      </c>
    </row>
    <row r="134" spans="7:9" x14ac:dyDescent="0.15">
      <c r="G134">
        <v>115</v>
      </c>
      <c r="H134">
        <v>-5.8086728184780441</v>
      </c>
      <c r="I134">
        <f t="shared" si="1"/>
        <v>1</v>
      </c>
    </row>
    <row r="135" spans="7:9" x14ac:dyDescent="0.15">
      <c r="G135">
        <v>116</v>
      </c>
      <c r="H135">
        <v>-77.888197277923169</v>
      </c>
      <c r="I135">
        <f t="shared" si="1"/>
        <v>1</v>
      </c>
    </row>
    <row r="136" spans="7:9" x14ac:dyDescent="0.15">
      <c r="G136">
        <v>117</v>
      </c>
      <c r="H136">
        <v>-325.0763042336859</v>
      </c>
      <c r="I136">
        <f t="shared" si="1"/>
        <v>1</v>
      </c>
    </row>
    <row r="137" spans="7:9" x14ac:dyDescent="0.15">
      <c r="G137">
        <v>118</v>
      </c>
      <c r="H137">
        <v>664.61122650877428</v>
      </c>
      <c r="I137">
        <f t="shared" si="1"/>
        <v>0</v>
      </c>
    </row>
    <row r="138" spans="7:9" x14ac:dyDescent="0.15">
      <c r="G138">
        <v>119</v>
      </c>
      <c r="H138">
        <v>-388.18749273634967</v>
      </c>
      <c r="I138">
        <f t="shared" si="1"/>
        <v>1</v>
      </c>
    </row>
    <row r="139" spans="7:9" x14ac:dyDescent="0.15">
      <c r="G139">
        <v>120</v>
      </c>
      <c r="H139">
        <v>-36.901525292841413</v>
      </c>
      <c r="I139">
        <f t="shared" si="1"/>
        <v>1</v>
      </c>
    </row>
    <row r="140" spans="7:9" x14ac:dyDescent="0.15">
      <c r="G140">
        <v>121</v>
      </c>
      <c r="H140">
        <v>-29.560732018101461</v>
      </c>
      <c r="I140">
        <f t="shared" si="1"/>
        <v>1</v>
      </c>
    </row>
    <row r="141" spans="7:9" x14ac:dyDescent="0.15">
      <c r="G141">
        <v>122</v>
      </c>
      <c r="H141">
        <v>26.738090360636832</v>
      </c>
      <c r="I141">
        <f t="shared" si="1"/>
        <v>0</v>
      </c>
    </row>
    <row r="142" spans="7:9" x14ac:dyDescent="0.15">
      <c r="G142">
        <v>123</v>
      </c>
      <c r="H142">
        <v>-127.01094633607295</v>
      </c>
      <c r="I142">
        <f t="shared" si="1"/>
        <v>1</v>
      </c>
    </row>
    <row r="143" spans="7:9" x14ac:dyDescent="0.15">
      <c r="G143">
        <v>124</v>
      </c>
      <c r="H143">
        <v>-60.244877283923785</v>
      </c>
      <c r="I143">
        <f t="shared" si="1"/>
        <v>1</v>
      </c>
    </row>
    <row r="144" spans="7:9" x14ac:dyDescent="0.15">
      <c r="G144">
        <v>125</v>
      </c>
      <c r="H144">
        <v>261.57744547633592</v>
      </c>
      <c r="I144">
        <f t="shared" si="1"/>
        <v>0</v>
      </c>
    </row>
    <row r="145" spans="7:9" x14ac:dyDescent="0.15">
      <c r="G145">
        <v>126</v>
      </c>
      <c r="H145">
        <v>546.31019095251963</v>
      </c>
      <c r="I145">
        <f t="shared" si="1"/>
        <v>0</v>
      </c>
    </row>
    <row r="146" spans="7:9" x14ac:dyDescent="0.15">
      <c r="G146">
        <v>127</v>
      </c>
      <c r="H146">
        <v>-45.267713309853463</v>
      </c>
      <c r="I146">
        <f t="shared" si="1"/>
        <v>1</v>
      </c>
    </row>
    <row r="147" spans="7:9" x14ac:dyDescent="0.15">
      <c r="G147">
        <v>128</v>
      </c>
      <c r="H147">
        <v>-62.22417321391351</v>
      </c>
      <c r="I147">
        <f t="shared" si="1"/>
        <v>1</v>
      </c>
    </row>
    <row r="148" spans="7:9" x14ac:dyDescent="0.15">
      <c r="G148">
        <v>129</v>
      </c>
      <c r="H148">
        <v>-49.00592066433839</v>
      </c>
      <c r="I148">
        <f t="shared" si="1"/>
        <v>1</v>
      </c>
    </row>
    <row r="149" spans="7:9" x14ac:dyDescent="0.15">
      <c r="G149">
        <v>130</v>
      </c>
      <c r="H149">
        <v>-135.00698417932011</v>
      </c>
      <c r="I149">
        <f t="shared" ref="I149:I212" si="2">IF(H149&lt;0,1,0)</f>
        <v>1</v>
      </c>
    </row>
    <row r="150" spans="7:9" x14ac:dyDescent="0.15">
      <c r="G150">
        <v>131</v>
      </c>
      <c r="H150">
        <v>-140.72552178519112</v>
      </c>
      <c r="I150">
        <f t="shared" si="2"/>
        <v>1</v>
      </c>
    </row>
    <row r="151" spans="7:9" x14ac:dyDescent="0.15">
      <c r="G151">
        <v>132</v>
      </c>
      <c r="H151">
        <v>-297.21719102096802</v>
      </c>
      <c r="I151">
        <f t="shared" si="2"/>
        <v>1</v>
      </c>
    </row>
    <row r="152" spans="7:9" x14ac:dyDescent="0.15">
      <c r="G152">
        <v>133</v>
      </c>
      <c r="H152">
        <v>7.0991426362575396</v>
      </c>
      <c r="I152">
        <f t="shared" si="2"/>
        <v>0</v>
      </c>
    </row>
    <row r="153" spans="7:9" x14ac:dyDescent="0.15">
      <c r="G153">
        <v>134</v>
      </c>
      <c r="H153">
        <v>524.56931006120078</v>
      </c>
      <c r="I153">
        <f t="shared" si="2"/>
        <v>0</v>
      </c>
    </row>
    <row r="154" spans="7:9" x14ac:dyDescent="0.15">
      <c r="G154">
        <v>135</v>
      </c>
      <c r="H154">
        <v>-87.548902946992158</v>
      </c>
      <c r="I154">
        <f t="shared" si="2"/>
        <v>1</v>
      </c>
    </row>
    <row r="155" spans="7:9" x14ac:dyDescent="0.15">
      <c r="G155">
        <v>136</v>
      </c>
      <c r="H155">
        <v>-42.805237377738351</v>
      </c>
      <c r="I155">
        <f t="shared" si="2"/>
        <v>1</v>
      </c>
    </row>
    <row r="156" spans="7:9" x14ac:dyDescent="0.15">
      <c r="G156">
        <v>137</v>
      </c>
      <c r="H156">
        <v>300.17874857308436</v>
      </c>
      <c r="I156">
        <f t="shared" si="2"/>
        <v>0</v>
      </c>
    </row>
    <row r="157" spans="7:9" x14ac:dyDescent="0.15">
      <c r="G157">
        <v>138</v>
      </c>
      <c r="H157">
        <v>55.670305413076228</v>
      </c>
      <c r="I157">
        <f t="shared" si="2"/>
        <v>0</v>
      </c>
    </row>
    <row r="158" spans="7:9" x14ac:dyDescent="0.15">
      <c r="G158">
        <v>139</v>
      </c>
      <c r="H158">
        <v>25.375760070430331</v>
      </c>
      <c r="I158">
        <f t="shared" si="2"/>
        <v>0</v>
      </c>
    </row>
    <row r="159" spans="7:9" x14ac:dyDescent="0.15">
      <c r="G159">
        <v>140</v>
      </c>
      <c r="H159">
        <v>-91.295779500047729</v>
      </c>
      <c r="I159">
        <f t="shared" si="2"/>
        <v>1</v>
      </c>
    </row>
    <row r="160" spans="7:9" x14ac:dyDescent="0.15">
      <c r="G160">
        <v>141</v>
      </c>
      <c r="H160">
        <v>296.82061690151045</v>
      </c>
      <c r="I160">
        <f t="shared" si="2"/>
        <v>0</v>
      </c>
    </row>
    <row r="161" spans="7:9" x14ac:dyDescent="0.15">
      <c r="G161">
        <v>142</v>
      </c>
      <c r="H161">
        <v>16.209272422369359</v>
      </c>
      <c r="I161">
        <f t="shared" si="2"/>
        <v>0</v>
      </c>
    </row>
    <row r="162" spans="7:9" x14ac:dyDescent="0.15">
      <c r="G162">
        <v>143</v>
      </c>
      <c r="H162">
        <v>213.95274464155381</v>
      </c>
      <c r="I162">
        <f t="shared" si="2"/>
        <v>0</v>
      </c>
    </row>
    <row r="163" spans="7:9" x14ac:dyDescent="0.15">
      <c r="G163">
        <v>144</v>
      </c>
      <c r="H163">
        <v>31.125211191228374</v>
      </c>
      <c r="I163">
        <f t="shared" si="2"/>
        <v>0</v>
      </c>
    </row>
    <row r="164" spans="7:9" x14ac:dyDescent="0.15">
      <c r="G164">
        <v>145</v>
      </c>
      <c r="H164">
        <v>-44.787411754181505</v>
      </c>
      <c r="I164">
        <f t="shared" si="2"/>
        <v>1</v>
      </c>
    </row>
    <row r="165" spans="7:9" x14ac:dyDescent="0.15">
      <c r="G165">
        <v>146</v>
      </c>
      <c r="H165">
        <v>-133.96951292248718</v>
      </c>
      <c r="I165">
        <f t="shared" si="2"/>
        <v>1</v>
      </c>
    </row>
    <row r="166" spans="7:9" x14ac:dyDescent="0.15">
      <c r="G166">
        <v>147</v>
      </c>
      <c r="H166">
        <v>60.246992789753833</v>
      </c>
      <c r="I166">
        <f t="shared" si="2"/>
        <v>0</v>
      </c>
    </row>
    <row r="167" spans="7:9" x14ac:dyDescent="0.15">
      <c r="G167">
        <v>148</v>
      </c>
      <c r="H167">
        <v>371.3601838846796</v>
      </c>
      <c r="I167">
        <f t="shared" si="2"/>
        <v>0</v>
      </c>
    </row>
    <row r="168" spans="7:9" x14ac:dyDescent="0.15">
      <c r="G168">
        <v>149</v>
      </c>
      <c r="H168">
        <v>188.25246295812434</v>
      </c>
      <c r="I168">
        <f t="shared" si="2"/>
        <v>0</v>
      </c>
    </row>
    <row r="169" spans="7:9" x14ac:dyDescent="0.15">
      <c r="G169">
        <v>150</v>
      </c>
      <c r="H169">
        <v>80.175706264330898</v>
      </c>
      <c r="I169">
        <f t="shared" si="2"/>
        <v>0</v>
      </c>
    </row>
    <row r="170" spans="7:9" x14ac:dyDescent="0.15">
      <c r="G170">
        <v>151</v>
      </c>
      <c r="H170">
        <v>366.7920034229324</v>
      </c>
      <c r="I170">
        <f t="shared" si="2"/>
        <v>0</v>
      </c>
    </row>
    <row r="171" spans="7:9" x14ac:dyDescent="0.15">
      <c r="G171">
        <v>152</v>
      </c>
      <c r="H171">
        <v>-256.63538756529084</v>
      </c>
      <c r="I171">
        <f t="shared" si="2"/>
        <v>1</v>
      </c>
    </row>
    <row r="172" spans="7:9" x14ac:dyDescent="0.15">
      <c r="G172">
        <v>153</v>
      </c>
      <c r="H172">
        <v>144.24506671890663</v>
      </c>
      <c r="I172">
        <f t="shared" si="2"/>
        <v>0</v>
      </c>
    </row>
    <row r="173" spans="7:9" x14ac:dyDescent="0.15">
      <c r="G173">
        <v>154</v>
      </c>
      <c r="H173">
        <v>462.83038681678283</v>
      </c>
      <c r="I173">
        <f t="shared" si="2"/>
        <v>0</v>
      </c>
    </row>
    <row r="174" spans="7:9" x14ac:dyDescent="0.15">
      <c r="G174">
        <v>155</v>
      </c>
      <c r="H174">
        <v>-142.88886173746735</v>
      </c>
      <c r="I174">
        <f t="shared" si="2"/>
        <v>1</v>
      </c>
    </row>
    <row r="175" spans="7:9" x14ac:dyDescent="0.15">
      <c r="G175">
        <v>156</v>
      </c>
      <c r="H175">
        <v>-97.145190228915766</v>
      </c>
      <c r="I175">
        <f t="shared" si="2"/>
        <v>1</v>
      </c>
    </row>
    <row r="176" spans="7:9" x14ac:dyDescent="0.15">
      <c r="G176">
        <v>157</v>
      </c>
      <c r="H176">
        <v>378.92862392022823</v>
      </c>
      <c r="I176">
        <f t="shared" si="2"/>
        <v>0</v>
      </c>
    </row>
    <row r="177" spans="7:9" x14ac:dyDescent="0.15">
      <c r="G177">
        <v>158</v>
      </c>
      <c r="H177">
        <v>161.82638565490623</v>
      </c>
      <c r="I177">
        <f t="shared" si="2"/>
        <v>0</v>
      </c>
    </row>
    <row r="178" spans="7:9" x14ac:dyDescent="0.15">
      <c r="G178">
        <v>159</v>
      </c>
      <c r="H178">
        <v>-29.240235888437141</v>
      </c>
      <c r="I178">
        <f t="shared" si="2"/>
        <v>1</v>
      </c>
    </row>
    <row r="179" spans="7:9" x14ac:dyDescent="0.15">
      <c r="G179">
        <v>160</v>
      </c>
      <c r="H179">
        <v>-32.94229147588706</v>
      </c>
      <c r="I179">
        <f t="shared" si="2"/>
        <v>1</v>
      </c>
    </row>
    <row r="180" spans="7:9" x14ac:dyDescent="0.15">
      <c r="G180">
        <v>161</v>
      </c>
      <c r="H180">
        <v>505.59167072445535</v>
      </c>
      <c r="I180">
        <f t="shared" si="2"/>
        <v>0</v>
      </c>
    </row>
    <row r="181" spans="7:9" x14ac:dyDescent="0.15">
      <c r="G181">
        <v>162</v>
      </c>
      <c r="H181">
        <v>114.36473211059337</v>
      </c>
      <c r="I181">
        <f t="shared" si="2"/>
        <v>0</v>
      </c>
    </row>
    <row r="182" spans="7:9" x14ac:dyDescent="0.15">
      <c r="G182">
        <v>163</v>
      </c>
      <c r="H182">
        <v>-251.39309013286106</v>
      </c>
      <c r="I182">
        <f t="shared" si="2"/>
        <v>1</v>
      </c>
    </row>
    <row r="183" spans="7:9" x14ac:dyDescent="0.15">
      <c r="G183">
        <v>164</v>
      </c>
      <c r="H183">
        <v>68.464471253467309</v>
      </c>
      <c r="I183">
        <f t="shared" si="2"/>
        <v>0</v>
      </c>
    </row>
    <row r="184" spans="7:9" x14ac:dyDescent="0.15">
      <c r="G184">
        <v>165</v>
      </c>
      <c r="H184">
        <v>312.42529685846193</v>
      </c>
      <c r="I184">
        <f t="shared" si="2"/>
        <v>0</v>
      </c>
    </row>
    <row r="185" spans="7:9" x14ac:dyDescent="0.15">
      <c r="G185">
        <v>166</v>
      </c>
      <c r="H185">
        <v>107.84946959441336</v>
      </c>
      <c r="I185">
        <f t="shared" si="2"/>
        <v>0</v>
      </c>
    </row>
    <row r="186" spans="7:9" x14ac:dyDescent="0.15">
      <c r="G186">
        <v>167</v>
      </c>
      <c r="H186">
        <v>65.954675410325081</v>
      </c>
      <c r="I186">
        <f t="shared" si="2"/>
        <v>0</v>
      </c>
    </row>
    <row r="187" spans="7:9" x14ac:dyDescent="0.15">
      <c r="G187">
        <v>168</v>
      </c>
      <c r="H187">
        <v>-252.41719044009187</v>
      </c>
      <c r="I187">
        <f t="shared" si="2"/>
        <v>1</v>
      </c>
    </row>
    <row r="188" spans="7:9" x14ac:dyDescent="0.15">
      <c r="G188">
        <v>169</v>
      </c>
      <c r="H188">
        <v>-117.45811292508884</v>
      </c>
      <c r="I188">
        <f t="shared" si="2"/>
        <v>1</v>
      </c>
    </row>
    <row r="189" spans="7:9" x14ac:dyDescent="0.15">
      <c r="G189">
        <v>170</v>
      </c>
      <c r="H189">
        <v>229.54807131584158</v>
      </c>
      <c r="I189">
        <f t="shared" si="2"/>
        <v>0</v>
      </c>
    </row>
    <row r="190" spans="7:9" x14ac:dyDescent="0.15">
      <c r="G190">
        <v>171</v>
      </c>
      <c r="H190">
        <v>225.92488478451094</v>
      </c>
      <c r="I190">
        <f t="shared" si="2"/>
        <v>0</v>
      </c>
    </row>
    <row r="191" spans="7:9" x14ac:dyDescent="0.15">
      <c r="G191">
        <v>172</v>
      </c>
      <c r="H191">
        <v>273.77459854746922</v>
      </c>
      <c r="I191">
        <f t="shared" si="2"/>
        <v>0</v>
      </c>
    </row>
    <row r="192" spans="7:9" x14ac:dyDescent="0.15">
      <c r="G192">
        <v>173</v>
      </c>
      <c r="H192">
        <v>126.77250269850465</v>
      </c>
      <c r="I192">
        <f t="shared" si="2"/>
        <v>0</v>
      </c>
    </row>
    <row r="193" spans="7:9" x14ac:dyDescent="0.15">
      <c r="G193">
        <v>174</v>
      </c>
      <c r="H193">
        <v>260.82198460315851</v>
      </c>
      <c r="I193">
        <f t="shared" si="2"/>
        <v>0</v>
      </c>
    </row>
    <row r="194" spans="7:9" x14ac:dyDescent="0.15">
      <c r="G194">
        <v>175</v>
      </c>
      <c r="H194">
        <v>168.61172685999537</v>
      </c>
      <c r="I194">
        <f t="shared" si="2"/>
        <v>0</v>
      </c>
    </row>
    <row r="195" spans="7:9" x14ac:dyDescent="0.15">
      <c r="G195">
        <v>176</v>
      </c>
      <c r="H195">
        <v>-109.90686600727237</v>
      </c>
      <c r="I195">
        <f t="shared" si="2"/>
        <v>1</v>
      </c>
    </row>
    <row r="196" spans="7:9" x14ac:dyDescent="0.15">
      <c r="G196">
        <v>177</v>
      </c>
      <c r="H196">
        <v>-190.25121380958788</v>
      </c>
      <c r="I196">
        <f t="shared" si="2"/>
        <v>1</v>
      </c>
    </row>
    <row r="197" spans="7:9" x14ac:dyDescent="0.15">
      <c r="G197">
        <v>178</v>
      </c>
      <c r="H197">
        <v>-95.849711234216656</v>
      </c>
      <c r="I197">
        <f t="shared" si="2"/>
        <v>1</v>
      </c>
    </row>
    <row r="198" spans="7:9" x14ac:dyDescent="0.15">
      <c r="G198">
        <v>179</v>
      </c>
      <c r="H198">
        <v>-34.334145471879268</v>
      </c>
      <c r="I198">
        <f t="shared" si="2"/>
        <v>1</v>
      </c>
    </row>
    <row r="199" spans="7:9" x14ac:dyDescent="0.15">
      <c r="G199">
        <v>180</v>
      </c>
      <c r="H199">
        <v>437.75074140052646</v>
      </c>
      <c r="I199">
        <f t="shared" si="2"/>
        <v>0</v>
      </c>
    </row>
    <row r="200" spans="7:9" x14ac:dyDescent="0.15">
      <c r="G200">
        <v>181</v>
      </c>
      <c r="H200">
        <v>-72.308298801110695</v>
      </c>
      <c r="I200">
        <f t="shared" si="2"/>
        <v>1</v>
      </c>
    </row>
    <row r="201" spans="7:9" x14ac:dyDescent="0.15">
      <c r="G201">
        <v>182</v>
      </c>
      <c r="H201">
        <v>-11.360846069878406</v>
      </c>
      <c r="I201">
        <f t="shared" si="2"/>
        <v>1</v>
      </c>
    </row>
    <row r="202" spans="7:9" x14ac:dyDescent="0.15">
      <c r="G202">
        <v>183</v>
      </c>
      <c r="H202">
        <v>376.23241915142768</v>
      </c>
      <c r="I202">
        <f t="shared" si="2"/>
        <v>0</v>
      </c>
    </row>
    <row r="203" spans="7:9" x14ac:dyDescent="0.15">
      <c r="G203">
        <v>184</v>
      </c>
      <c r="H203">
        <v>-15.387306302573343</v>
      </c>
      <c r="I203">
        <f t="shared" si="2"/>
        <v>1</v>
      </c>
    </row>
    <row r="204" spans="7:9" x14ac:dyDescent="0.15">
      <c r="G204">
        <v>185</v>
      </c>
      <c r="H204">
        <v>347.29738287599633</v>
      </c>
      <c r="I204">
        <f t="shared" si="2"/>
        <v>0</v>
      </c>
    </row>
    <row r="205" spans="7:9" x14ac:dyDescent="0.15">
      <c r="G205">
        <v>186</v>
      </c>
      <c r="H205">
        <v>-199.82067551177755</v>
      </c>
      <c r="I205">
        <f t="shared" si="2"/>
        <v>1</v>
      </c>
    </row>
    <row r="206" spans="7:9" x14ac:dyDescent="0.15">
      <c r="G206">
        <v>187</v>
      </c>
      <c r="H206">
        <v>-48.863652894935925</v>
      </c>
      <c r="I206">
        <f t="shared" si="2"/>
        <v>1</v>
      </c>
    </row>
    <row r="207" spans="7:9" x14ac:dyDescent="0.15">
      <c r="G207">
        <v>188</v>
      </c>
      <c r="H207">
        <v>-85.370574478122194</v>
      </c>
      <c r="I207">
        <f t="shared" si="2"/>
        <v>1</v>
      </c>
    </row>
    <row r="208" spans="7:9" x14ac:dyDescent="0.15">
      <c r="G208">
        <v>189</v>
      </c>
      <c r="H208">
        <v>13.830156824334495</v>
      </c>
      <c r="I208">
        <f t="shared" si="2"/>
        <v>0</v>
      </c>
    </row>
    <row r="209" spans="7:9" x14ac:dyDescent="0.15">
      <c r="G209">
        <v>190</v>
      </c>
      <c r="H209">
        <v>430.86470818617624</v>
      </c>
      <c r="I209">
        <f t="shared" si="2"/>
        <v>0</v>
      </c>
    </row>
    <row r="210" spans="7:9" x14ac:dyDescent="0.15">
      <c r="G210">
        <v>191</v>
      </c>
      <c r="H210">
        <v>107.55268966544199</v>
      </c>
      <c r="I210">
        <f t="shared" si="2"/>
        <v>0</v>
      </c>
    </row>
    <row r="211" spans="7:9" x14ac:dyDescent="0.15">
      <c r="G211">
        <v>192</v>
      </c>
      <c r="H211">
        <v>-87.669807861214892</v>
      </c>
      <c r="I211">
        <f t="shared" si="2"/>
        <v>1</v>
      </c>
    </row>
    <row r="212" spans="7:9" x14ac:dyDescent="0.15">
      <c r="G212">
        <v>193</v>
      </c>
      <c r="H212">
        <v>190.39978727166283</v>
      </c>
      <c r="I212">
        <f t="shared" si="2"/>
        <v>0</v>
      </c>
    </row>
    <row r="213" spans="7:9" x14ac:dyDescent="0.15">
      <c r="G213">
        <v>194</v>
      </c>
      <c r="H213">
        <v>7.7237916250853971</v>
      </c>
      <c r="I213">
        <f t="shared" ref="I213:I276" si="3">IF(H213&lt;0,1,0)</f>
        <v>0</v>
      </c>
    </row>
    <row r="214" spans="7:9" x14ac:dyDescent="0.15">
      <c r="G214">
        <v>195</v>
      </c>
      <c r="H214">
        <v>-125.82536778038109</v>
      </c>
      <c r="I214">
        <f t="shared" si="3"/>
        <v>1</v>
      </c>
    </row>
    <row r="215" spans="7:9" x14ac:dyDescent="0.15">
      <c r="G215">
        <v>196</v>
      </c>
      <c r="H215">
        <v>-244.86822738256501</v>
      </c>
      <c r="I215">
        <f t="shared" si="3"/>
        <v>1</v>
      </c>
    </row>
    <row r="216" spans="7:9" x14ac:dyDescent="0.15">
      <c r="G216">
        <v>197</v>
      </c>
      <c r="H216">
        <v>-173.2343977427945</v>
      </c>
      <c r="I216">
        <f t="shared" si="3"/>
        <v>1</v>
      </c>
    </row>
    <row r="217" spans="7:9" x14ac:dyDescent="0.15">
      <c r="G217">
        <v>198</v>
      </c>
      <c r="H217">
        <v>-67.480219559729292</v>
      </c>
      <c r="I217">
        <f t="shared" si="3"/>
        <v>1</v>
      </c>
    </row>
    <row r="218" spans="7:9" x14ac:dyDescent="0.15">
      <c r="G218">
        <v>199</v>
      </c>
      <c r="H218">
        <v>322.70243180857955</v>
      </c>
      <c r="I218">
        <f t="shared" si="3"/>
        <v>0</v>
      </c>
    </row>
    <row r="219" spans="7:9" x14ac:dyDescent="0.15">
      <c r="G219">
        <v>200</v>
      </c>
      <c r="H219">
        <v>-358.54545259638394</v>
      </c>
      <c r="I219">
        <f t="shared" si="3"/>
        <v>1</v>
      </c>
    </row>
    <row r="220" spans="7:9" x14ac:dyDescent="0.15">
      <c r="G220">
        <v>201</v>
      </c>
      <c r="H220">
        <v>-308.73608032022548</v>
      </c>
      <c r="I220">
        <f t="shared" si="3"/>
        <v>1</v>
      </c>
    </row>
    <row r="221" spans="7:9" x14ac:dyDescent="0.15">
      <c r="G221">
        <v>202</v>
      </c>
      <c r="H221">
        <v>-195.59021678047498</v>
      </c>
      <c r="I221">
        <f t="shared" si="3"/>
        <v>1</v>
      </c>
    </row>
    <row r="222" spans="7:9" x14ac:dyDescent="0.15">
      <c r="G222">
        <v>203</v>
      </c>
      <c r="H222">
        <v>190.61981118327179</v>
      </c>
      <c r="I222">
        <f t="shared" si="3"/>
        <v>0</v>
      </c>
    </row>
    <row r="223" spans="7:9" x14ac:dyDescent="0.15">
      <c r="G223">
        <v>204</v>
      </c>
      <c r="H223">
        <v>-350.52522760439206</v>
      </c>
      <c r="I223">
        <f t="shared" si="3"/>
        <v>1</v>
      </c>
    </row>
    <row r="224" spans="7:9" x14ac:dyDescent="0.15">
      <c r="G224">
        <v>205</v>
      </c>
      <c r="H224">
        <v>198.22252877768258</v>
      </c>
      <c r="I224">
        <f t="shared" si="3"/>
        <v>0</v>
      </c>
    </row>
    <row r="225" spans="7:9" x14ac:dyDescent="0.15">
      <c r="G225">
        <v>206</v>
      </c>
      <c r="H225">
        <v>29.687705949422046</v>
      </c>
      <c r="I225">
        <f t="shared" si="3"/>
        <v>0</v>
      </c>
    </row>
    <row r="226" spans="7:9" x14ac:dyDescent="0.15">
      <c r="G226">
        <v>207</v>
      </c>
      <c r="H226">
        <v>104.36577182415854</v>
      </c>
      <c r="I226">
        <f t="shared" si="3"/>
        <v>0</v>
      </c>
    </row>
    <row r="227" spans="7:9" x14ac:dyDescent="0.15">
      <c r="G227">
        <v>208</v>
      </c>
      <c r="H227">
        <v>321.68489683773993</v>
      </c>
      <c r="I227">
        <f t="shared" si="3"/>
        <v>0</v>
      </c>
    </row>
    <row r="228" spans="7:9" x14ac:dyDescent="0.15">
      <c r="G228">
        <v>209</v>
      </c>
      <c r="H228">
        <v>-369.49290849963683</v>
      </c>
      <c r="I228">
        <f t="shared" si="3"/>
        <v>1</v>
      </c>
    </row>
    <row r="229" spans="7:9" x14ac:dyDescent="0.15">
      <c r="G229">
        <v>210</v>
      </c>
      <c r="H229">
        <v>-98.712514660049052</v>
      </c>
      <c r="I229">
        <f t="shared" si="3"/>
        <v>1</v>
      </c>
    </row>
    <row r="230" spans="7:9" x14ac:dyDescent="0.15">
      <c r="G230">
        <v>211</v>
      </c>
      <c r="H230">
        <v>15.776936098266006</v>
      </c>
      <c r="I230">
        <f t="shared" si="3"/>
        <v>0</v>
      </c>
    </row>
    <row r="231" spans="7:9" x14ac:dyDescent="0.15">
      <c r="G231">
        <v>212</v>
      </c>
      <c r="H231">
        <v>-11.771046634435024</v>
      </c>
      <c r="I231">
        <f t="shared" si="3"/>
        <v>1</v>
      </c>
    </row>
    <row r="232" spans="7:9" x14ac:dyDescent="0.15">
      <c r="G232">
        <v>213</v>
      </c>
      <c r="H232">
        <v>-72.106011305988616</v>
      </c>
      <c r="I232">
        <f t="shared" si="3"/>
        <v>1</v>
      </c>
    </row>
    <row r="233" spans="7:9" x14ac:dyDescent="0.15">
      <c r="G233">
        <v>214</v>
      </c>
      <c r="H233">
        <v>-23.975984922366351</v>
      </c>
      <c r="I233">
        <f t="shared" si="3"/>
        <v>1</v>
      </c>
    </row>
    <row r="234" spans="7:9" x14ac:dyDescent="0.15">
      <c r="G234">
        <v>215</v>
      </c>
      <c r="H234">
        <v>20.230196755022419</v>
      </c>
      <c r="I234">
        <f t="shared" si="3"/>
        <v>0</v>
      </c>
    </row>
    <row r="235" spans="7:9" x14ac:dyDescent="0.15">
      <c r="G235">
        <v>216</v>
      </c>
      <c r="H235">
        <v>336.72415489345099</v>
      </c>
      <c r="I235">
        <f t="shared" si="3"/>
        <v>0</v>
      </c>
    </row>
    <row r="236" spans="7:9" x14ac:dyDescent="0.15">
      <c r="G236">
        <v>217</v>
      </c>
      <c r="H236">
        <v>-105.88150029090168</v>
      </c>
      <c r="I236">
        <f t="shared" si="3"/>
        <v>1</v>
      </c>
    </row>
    <row r="237" spans="7:9" x14ac:dyDescent="0.15">
      <c r="G237">
        <v>218</v>
      </c>
      <c r="H237">
        <v>-80.371985268641325</v>
      </c>
      <c r="I237">
        <f t="shared" si="3"/>
        <v>1</v>
      </c>
    </row>
    <row r="238" spans="7:9" x14ac:dyDescent="0.15">
      <c r="G238">
        <v>219</v>
      </c>
      <c r="H238">
        <v>341.11851659340203</v>
      </c>
      <c r="I238">
        <f t="shared" si="3"/>
        <v>0</v>
      </c>
    </row>
    <row r="239" spans="7:9" x14ac:dyDescent="0.15">
      <c r="G239">
        <v>220</v>
      </c>
      <c r="H239">
        <v>-393.84746372072067</v>
      </c>
      <c r="I239">
        <f t="shared" si="3"/>
        <v>1</v>
      </c>
    </row>
    <row r="240" spans="7:9" x14ac:dyDescent="0.15">
      <c r="G240">
        <v>221</v>
      </c>
      <c r="H240">
        <v>499.06918081742202</v>
      </c>
      <c r="I240">
        <f t="shared" si="3"/>
        <v>0</v>
      </c>
    </row>
    <row r="241" spans="7:9" x14ac:dyDescent="0.15">
      <c r="G241">
        <v>222</v>
      </c>
      <c r="H241">
        <v>-71.748584556603447</v>
      </c>
      <c r="I241">
        <f t="shared" si="3"/>
        <v>1</v>
      </c>
    </row>
    <row r="242" spans="7:9" x14ac:dyDescent="0.15">
      <c r="G242">
        <v>223</v>
      </c>
      <c r="H242">
        <v>438.48785041454551</v>
      </c>
      <c r="I242">
        <f t="shared" si="3"/>
        <v>0</v>
      </c>
    </row>
    <row r="243" spans="7:9" x14ac:dyDescent="0.15">
      <c r="G243">
        <v>224</v>
      </c>
      <c r="H243">
        <v>508.85054414106907</v>
      </c>
      <c r="I243">
        <f t="shared" si="3"/>
        <v>0</v>
      </c>
    </row>
    <row r="244" spans="7:9" x14ac:dyDescent="0.15">
      <c r="G244">
        <v>225</v>
      </c>
      <c r="H244">
        <v>-139.62763373845274</v>
      </c>
      <c r="I244">
        <f t="shared" si="3"/>
        <v>1</v>
      </c>
    </row>
    <row r="245" spans="7:9" x14ac:dyDescent="0.15">
      <c r="G245">
        <v>226</v>
      </c>
      <c r="H245">
        <v>469.18167215934704</v>
      </c>
      <c r="I245">
        <f t="shared" si="3"/>
        <v>0</v>
      </c>
    </row>
    <row r="246" spans="7:9" x14ac:dyDescent="0.15">
      <c r="G246">
        <v>227</v>
      </c>
      <c r="H246">
        <v>226.76106944684065</v>
      </c>
      <c r="I246">
        <f t="shared" si="3"/>
        <v>0</v>
      </c>
    </row>
    <row r="247" spans="7:9" x14ac:dyDescent="0.15">
      <c r="G247">
        <v>228</v>
      </c>
      <c r="H247">
        <v>-394.83210470332108</v>
      </c>
      <c r="I247">
        <f t="shared" si="3"/>
        <v>1</v>
      </c>
    </row>
    <row r="248" spans="7:9" x14ac:dyDescent="0.15">
      <c r="G248">
        <v>229</v>
      </c>
      <c r="H248">
        <v>66.506841890853678</v>
      </c>
      <c r="I248">
        <f t="shared" si="3"/>
        <v>0</v>
      </c>
    </row>
    <row r="249" spans="7:9" x14ac:dyDescent="0.15">
      <c r="G249">
        <v>230</v>
      </c>
      <c r="H249">
        <v>248.82409968231914</v>
      </c>
      <c r="I249">
        <f t="shared" si="3"/>
        <v>0</v>
      </c>
    </row>
    <row r="250" spans="7:9" x14ac:dyDescent="0.15">
      <c r="G250">
        <v>231</v>
      </c>
      <c r="H250">
        <v>-606.14939213137325</v>
      </c>
      <c r="I250">
        <f t="shared" si="3"/>
        <v>1</v>
      </c>
    </row>
    <row r="251" spans="7:9" x14ac:dyDescent="0.15">
      <c r="G251">
        <v>232</v>
      </c>
      <c r="H251">
        <v>455.91538795023081</v>
      </c>
      <c r="I251">
        <f t="shared" si="3"/>
        <v>0</v>
      </c>
    </row>
    <row r="252" spans="7:9" x14ac:dyDescent="0.15">
      <c r="G252">
        <v>233</v>
      </c>
      <c r="H252">
        <v>-23.955876337216552</v>
      </c>
      <c r="I252">
        <f t="shared" si="3"/>
        <v>1</v>
      </c>
    </row>
    <row r="253" spans="7:9" x14ac:dyDescent="0.15">
      <c r="G253">
        <v>234</v>
      </c>
      <c r="H253">
        <v>-193.49019521081624</v>
      </c>
      <c r="I253">
        <f t="shared" si="3"/>
        <v>1</v>
      </c>
    </row>
    <row r="254" spans="7:9" x14ac:dyDescent="0.15">
      <c r="G254">
        <v>235</v>
      </c>
      <c r="H254">
        <v>-73.62589800215008</v>
      </c>
      <c r="I254">
        <f t="shared" si="3"/>
        <v>1</v>
      </c>
    </row>
    <row r="255" spans="7:9" x14ac:dyDescent="0.15">
      <c r="G255">
        <v>236</v>
      </c>
      <c r="H255">
        <v>102.29564487866669</v>
      </c>
      <c r="I255">
        <f t="shared" si="3"/>
        <v>0</v>
      </c>
    </row>
    <row r="256" spans="7:9" x14ac:dyDescent="0.15">
      <c r="G256">
        <v>237</v>
      </c>
      <c r="H256">
        <v>-46.928097964287197</v>
      </c>
      <c r="I256">
        <f t="shared" si="3"/>
        <v>1</v>
      </c>
    </row>
    <row r="257" spans="7:9" x14ac:dyDescent="0.15">
      <c r="G257">
        <v>238</v>
      </c>
      <c r="H257">
        <v>-73.315460566495915</v>
      </c>
      <c r="I257">
        <f t="shared" si="3"/>
        <v>1</v>
      </c>
    </row>
    <row r="258" spans="7:9" x14ac:dyDescent="0.15">
      <c r="G258">
        <v>239</v>
      </c>
      <c r="H258">
        <v>-255.75123160817759</v>
      </c>
      <c r="I258">
        <f t="shared" si="3"/>
        <v>1</v>
      </c>
    </row>
    <row r="259" spans="7:9" x14ac:dyDescent="0.15">
      <c r="G259">
        <v>240</v>
      </c>
      <c r="H259">
        <v>-44.552031471354098</v>
      </c>
      <c r="I259">
        <f t="shared" si="3"/>
        <v>1</v>
      </c>
    </row>
    <row r="260" spans="7:9" x14ac:dyDescent="0.15">
      <c r="G260">
        <v>241</v>
      </c>
      <c r="H260">
        <v>163.37221483062422</v>
      </c>
      <c r="I260">
        <f t="shared" si="3"/>
        <v>0</v>
      </c>
    </row>
    <row r="261" spans="7:9" x14ac:dyDescent="0.15">
      <c r="G261">
        <v>242</v>
      </c>
      <c r="H261">
        <v>-73.580268238506065</v>
      </c>
      <c r="I261">
        <f t="shared" si="3"/>
        <v>1</v>
      </c>
    </row>
    <row r="262" spans="7:9" x14ac:dyDescent="0.15">
      <c r="G262">
        <v>243</v>
      </c>
      <c r="H262">
        <v>-368.90431474540401</v>
      </c>
      <c r="I262">
        <f t="shared" si="3"/>
        <v>1</v>
      </c>
    </row>
    <row r="263" spans="7:9" x14ac:dyDescent="0.15">
      <c r="G263">
        <v>244</v>
      </c>
      <c r="H263">
        <v>-74.091368805231994</v>
      </c>
      <c r="I263">
        <f t="shared" si="3"/>
        <v>1</v>
      </c>
    </row>
    <row r="264" spans="7:9" x14ac:dyDescent="0.15">
      <c r="G264">
        <v>245</v>
      </c>
      <c r="H264">
        <v>47.984755547993956</v>
      </c>
      <c r="I264">
        <f t="shared" si="3"/>
        <v>0</v>
      </c>
    </row>
    <row r="265" spans="7:9" x14ac:dyDescent="0.15">
      <c r="G265">
        <v>246</v>
      </c>
      <c r="H265">
        <v>129.32475063099577</v>
      </c>
      <c r="I265">
        <f t="shared" si="3"/>
        <v>0</v>
      </c>
    </row>
    <row r="266" spans="7:9" x14ac:dyDescent="0.15">
      <c r="G266">
        <v>247</v>
      </c>
      <c r="H266">
        <v>-31.959923806228844</v>
      </c>
      <c r="I266">
        <f t="shared" si="3"/>
        <v>1</v>
      </c>
    </row>
    <row r="267" spans="7:9" x14ac:dyDescent="0.15">
      <c r="G267">
        <v>248</v>
      </c>
      <c r="H267">
        <v>-97.034743704925361</v>
      </c>
      <c r="I267">
        <f t="shared" si="3"/>
        <v>1</v>
      </c>
    </row>
    <row r="268" spans="7:9" x14ac:dyDescent="0.15">
      <c r="G268">
        <v>249</v>
      </c>
      <c r="H268">
        <v>249.41580878597392</v>
      </c>
      <c r="I268">
        <f t="shared" si="3"/>
        <v>0</v>
      </c>
    </row>
    <row r="269" spans="7:9" x14ac:dyDescent="0.15">
      <c r="G269">
        <v>250</v>
      </c>
      <c r="H269">
        <v>-186.56440419944568</v>
      </c>
      <c r="I269">
        <f t="shared" si="3"/>
        <v>1</v>
      </c>
    </row>
    <row r="270" spans="7:9" x14ac:dyDescent="0.15">
      <c r="G270">
        <v>251</v>
      </c>
      <c r="H270">
        <v>583.75243034372977</v>
      </c>
      <c r="I270">
        <f t="shared" si="3"/>
        <v>0</v>
      </c>
    </row>
    <row r="271" spans="7:9" x14ac:dyDescent="0.15">
      <c r="G271">
        <v>252</v>
      </c>
      <c r="H271">
        <v>-217.54688869670548</v>
      </c>
      <c r="I271">
        <f t="shared" si="3"/>
        <v>1</v>
      </c>
    </row>
    <row r="272" spans="7:9" x14ac:dyDescent="0.15">
      <c r="G272">
        <v>253</v>
      </c>
      <c r="H272">
        <v>91.871363876686559</v>
      </c>
      <c r="I272">
        <f t="shared" si="3"/>
        <v>0</v>
      </c>
    </row>
    <row r="273" spans="7:9" x14ac:dyDescent="0.15">
      <c r="G273">
        <v>254</v>
      </c>
      <c r="H273">
        <v>-158.27192064183151</v>
      </c>
      <c r="I273">
        <f t="shared" si="3"/>
        <v>1</v>
      </c>
    </row>
    <row r="274" spans="7:9" x14ac:dyDescent="0.15">
      <c r="G274">
        <v>255</v>
      </c>
      <c r="H274">
        <v>-102.28010430176603</v>
      </c>
      <c r="I274">
        <f t="shared" si="3"/>
        <v>1</v>
      </c>
    </row>
    <row r="275" spans="7:9" x14ac:dyDescent="0.15">
      <c r="G275">
        <v>256</v>
      </c>
      <c r="H275">
        <v>40.404626682729038</v>
      </c>
      <c r="I275">
        <f t="shared" si="3"/>
        <v>0</v>
      </c>
    </row>
    <row r="276" spans="7:9" x14ac:dyDescent="0.15">
      <c r="G276">
        <v>257</v>
      </c>
      <c r="H276">
        <v>-102.58643099237375</v>
      </c>
      <c r="I276">
        <f t="shared" si="3"/>
        <v>1</v>
      </c>
    </row>
    <row r="277" spans="7:9" x14ac:dyDescent="0.15">
      <c r="G277">
        <v>258</v>
      </c>
      <c r="H277">
        <v>42.058659438981067</v>
      </c>
      <c r="I277">
        <f t="shared" ref="I277:I340" si="4">IF(H277&lt;0,1,0)</f>
        <v>0</v>
      </c>
    </row>
    <row r="278" spans="7:9" x14ac:dyDescent="0.15">
      <c r="G278">
        <v>259</v>
      </c>
      <c r="H278">
        <v>-361.13125216221863</v>
      </c>
      <c r="I278">
        <f t="shared" si="4"/>
        <v>1</v>
      </c>
    </row>
    <row r="279" spans="7:9" x14ac:dyDescent="0.15">
      <c r="G279">
        <v>260</v>
      </c>
      <c r="H279">
        <v>215.3527856995251</v>
      </c>
      <c r="I279">
        <f t="shared" si="4"/>
        <v>0</v>
      </c>
    </row>
    <row r="280" spans="7:9" x14ac:dyDescent="0.15">
      <c r="G280">
        <v>261</v>
      </c>
      <c r="H280">
        <v>86.684317771401666</v>
      </c>
      <c r="I280">
        <f t="shared" si="4"/>
        <v>0</v>
      </c>
    </row>
    <row r="281" spans="7:9" x14ac:dyDescent="0.15">
      <c r="G281">
        <v>262</v>
      </c>
      <c r="H281">
        <v>70.793807273047193</v>
      </c>
      <c r="I281">
        <f t="shared" si="4"/>
        <v>0</v>
      </c>
    </row>
    <row r="282" spans="7:9" x14ac:dyDescent="0.15">
      <c r="G282">
        <v>263</v>
      </c>
      <c r="H282">
        <v>8.6702010363896846</v>
      </c>
      <c r="I282">
        <f t="shared" si="4"/>
        <v>0</v>
      </c>
    </row>
    <row r="283" spans="7:9" x14ac:dyDescent="0.15">
      <c r="G283">
        <v>264</v>
      </c>
      <c r="H283">
        <v>636.26313403104029</v>
      </c>
      <c r="I283">
        <f t="shared" si="4"/>
        <v>0</v>
      </c>
    </row>
    <row r="284" spans="7:9" x14ac:dyDescent="0.15">
      <c r="G284">
        <v>265</v>
      </c>
      <c r="H284">
        <v>-101.29985117981994</v>
      </c>
      <c r="I284">
        <f t="shared" si="4"/>
        <v>1</v>
      </c>
    </row>
    <row r="285" spans="7:9" x14ac:dyDescent="0.15">
      <c r="G285">
        <v>266</v>
      </c>
      <c r="H285">
        <v>108.01577967172676</v>
      </c>
      <c r="I285">
        <f t="shared" si="4"/>
        <v>0</v>
      </c>
    </row>
    <row r="286" spans="7:9" x14ac:dyDescent="0.15">
      <c r="G286">
        <v>267</v>
      </c>
      <c r="H286">
        <v>169.60289366832257</v>
      </c>
      <c r="I286">
        <f t="shared" si="4"/>
        <v>0</v>
      </c>
    </row>
    <row r="287" spans="7:9" x14ac:dyDescent="0.15">
      <c r="G287">
        <v>268</v>
      </c>
      <c r="H287">
        <v>-40.105731419129981</v>
      </c>
      <c r="I287">
        <f t="shared" si="4"/>
        <v>1</v>
      </c>
    </row>
    <row r="288" spans="7:9" x14ac:dyDescent="0.15">
      <c r="G288">
        <v>269</v>
      </c>
      <c r="H288">
        <v>-184.87128039530145</v>
      </c>
      <c r="I288">
        <f t="shared" si="4"/>
        <v>1</v>
      </c>
    </row>
    <row r="289" spans="7:9" x14ac:dyDescent="0.15">
      <c r="G289">
        <v>270</v>
      </c>
      <c r="H289">
        <v>-139.27957459955155</v>
      </c>
      <c r="I289">
        <f t="shared" si="4"/>
        <v>1</v>
      </c>
    </row>
    <row r="290" spans="7:9" x14ac:dyDescent="0.15">
      <c r="G290">
        <v>271</v>
      </c>
      <c r="H290">
        <v>-221.41206940214278</v>
      </c>
      <c r="I290">
        <f t="shared" si="4"/>
        <v>1</v>
      </c>
    </row>
    <row r="291" spans="7:9" x14ac:dyDescent="0.15">
      <c r="G291">
        <v>272</v>
      </c>
      <c r="H291">
        <v>-230.18005073492679</v>
      </c>
      <c r="I291">
        <f t="shared" si="4"/>
        <v>1</v>
      </c>
    </row>
    <row r="292" spans="7:9" x14ac:dyDescent="0.15">
      <c r="G292">
        <v>273</v>
      </c>
      <c r="H292">
        <v>726.93384987413003</v>
      </c>
      <c r="I292">
        <f t="shared" si="4"/>
        <v>0</v>
      </c>
    </row>
    <row r="293" spans="7:9" x14ac:dyDescent="0.15">
      <c r="G293">
        <v>274</v>
      </c>
      <c r="H293">
        <v>96.14536902855275</v>
      </c>
      <c r="I293">
        <f t="shared" si="4"/>
        <v>0</v>
      </c>
    </row>
    <row r="294" spans="7:9" x14ac:dyDescent="0.15">
      <c r="G294">
        <v>275</v>
      </c>
      <c r="H294">
        <v>-256.01939964658521</v>
      </c>
      <c r="I294">
        <f t="shared" si="4"/>
        <v>1</v>
      </c>
    </row>
    <row r="295" spans="7:9" x14ac:dyDescent="0.15">
      <c r="G295">
        <v>276</v>
      </c>
      <c r="H295">
        <v>-44.628365213305273</v>
      </c>
      <c r="I295">
        <f t="shared" si="4"/>
        <v>1</v>
      </c>
    </row>
    <row r="296" spans="7:9" x14ac:dyDescent="0.15">
      <c r="G296">
        <v>277</v>
      </c>
      <c r="H296">
        <v>-155.29327996169491</v>
      </c>
      <c r="I296">
        <f t="shared" si="4"/>
        <v>1</v>
      </c>
    </row>
    <row r="297" spans="7:9" x14ac:dyDescent="0.15">
      <c r="G297">
        <v>278</v>
      </c>
      <c r="H297">
        <v>173.64364395165211</v>
      </c>
      <c r="I297">
        <f t="shared" si="4"/>
        <v>0</v>
      </c>
    </row>
    <row r="298" spans="7:9" x14ac:dyDescent="0.15">
      <c r="G298">
        <v>279</v>
      </c>
      <c r="H298">
        <v>392.79872095064042</v>
      </c>
      <c r="I298">
        <f t="shared" si="4"/>
        <v>0</v>
      </c>
    </row>
    <row r="299" spans="7:9" x14ac:dyDescent="0.15">
      <c r="G299">
        <v>280</v>
      </c>
      <c r="H299">
        <v>-141.21052847371953</v>
      </c>
      <c r="I299">
        <f t="shared" si="4"/>
        <v>1</v>
      </c>
    </row>
    <row r="300" spans="7:9" x14ac:dyDescent="0.15">
      <c r="G300">
        <v>281</v>
      </c>
      <c r="H300">
        <v>126.78593202221379</v>
      </c>
      <c r="I300">
        <f t="shared" si="4"/>
        <v>0</v>
      </c>
    </row>
    <row r="301" spans="7:9" x14ac:dyDescent="0.15">
      <c r="G301">
        <v>282</v>
      </c>
      <c r="H301">
        <v>35.397626067162577</v>
      </c>
      <c r="I301">
        <f t="shared" si="4"/>
        <v>0</v>
      </c>
    </row>
    <row r="302" spans="7:9" x14ac:dyDescent="0.15">
      <c r="G302">
        <v>283</v>
      </c>
      <c r="H302">
        <v>-347.37466249111412</v>
      </c>
      <c r="I302">
        <f t="shared" si="4"/>
        <v>1</v>
      </c>
    </row>
    <row r="303" spans="7:9" x14ac:dyDescent="0.15">
      <c r="G303">
        <v>284</v>
      </c>
      <c r="H303">
        <v>-72.914994580124201</v>
      </c>
      <c r="I303">
        <f t="shared" si="4"/>
        <v>1</v>
      </c>
    </row>
    <row r="304" spans="7:9" x14ac:dyDescent="0.15">
      <c r="G304">
        <v>285</v>
      </c>
      <c r="H304">
        <v>11.826193769137127</v>
      </c>
      <c r="I304">
        <f t="shared" si="4"/>
        <v>0</v>
      </c>
    </row>
    <row r="305" spans="7:9" x14ac:dyDescent="0.15">
      <c r="G305">
        <v>286</v>
      </c>
      <c r="H305">
        <v>298.71670764423897</v>
      </c>
      <c r="I305">
        <f t="shared" si="4"/>
        <v>0</v>
      </c>
    </row>
    <row r="306" spans="7:9" x14ac:dyDescent="0.15">
      <c r="G306">
        <v>287</v>
      </c>
      <c r="H306">
        <v>-260.48111676129014</v>
      </c>
      <c r="I306">
        <f t="shared" si="4"/>
        <v>1</v>
      </c>
    </row>
    <row r="307" spans="7:9" x14ac:dyDescent="0.15">
      <c r="G307">
        <v>288</v>
      </c>
      <c r="H307">
        <v>66.000697314787089</v>
      </c>
      <c r="I307">
        <f t="shared" si="4"/>
        <v>0</v>
      </c>
    </row>
    <row r="308" spans="7:9" x14ac:dyDescent="0.15">
      <c r="G308">
        <v>289</v>
      </c>
      <c r="H308">
        <v>306.03605479775678</v>
      </c>
      <c r="I308">
        <f t="shared" si="4"/>
        <v>0</v>
      </c>
    </row>
    <row r="309" spans="7:9" x14ac:dyDescent="0.15">
      <c r="G309">
        <v>290</v>
      </c>
      <c r="H309">
        <v>-101.56415199999151</v>
      </c>
      <c r="I309">
        <f t="shared" si="4"/>
        <v>1</v>
      </c>
    </row>
    <row r="310" spans="7:9" x14ac:dyDescent="0.15">
      <c r="G310">
        <v>291</v>
      </c>
      <c r="H310">
        <v>1.685692946240863</v>
      </c>
      <c r="I310">
        <f t="shared" si="4"/>
        <v>0</v>
      </c>
    </row>
    <row r="311" spans="7:9" x14ac:dyDescent="0.15">
      <c r="G311">
        <v>292</v>
      </c>
      <c r="H311">
        <v>206.82638118756245</v>
      </c>
      <c r="I311">
        <f t="shared" si="4"/>
        <v>0</v>
      </c>
    </row>
    <row r="312" spans="7:9" x14ac:dyDescent="0.15">
      <c r="G312">
        <v>293</v>
      </c>
      <c r="H312">
        <v>230.39109898752622</v>
      </c>
      <c r="I312">
        <f t="shared" si="4"/>
        <v>0</v>
      </c>
    </row>
    <row r="313" spans="7:9" x14ac:dyDescent="0.15">
      <c r="G313">
        <v>294</v>
      </c>
      <c r="H313">
        <v>284.90838566052992</v>
      </c>
      <c r="I313">
        <f t="shared" si="4"/>
        <v>0</v>
      </c>
    </row>
    <row r="314" spans="7:9" x14ac:dyDescent="0.15">
      <c r="G314">
        <v>295</v>
      </c>
      <c r="H314">
        <v>-566.53379253667617</v>
      </c>
      <c r="I314">
        <f t="shared" si="4"/>
        <v>1</v>
      </c>
    </row>
    <row r="315" spans="7:9" x14ac:dyDescent="0.15">
      <c r="G315">
        <v>296</v>
      </c>
      <c r="H315">
        <v>-88.588314779955127</v>
      </c>
      <c r="I315">
        <f t="shared" si="4"/>
        <v>1</v>
      </c>
    </row>
    <row r="316" spans="7:9" x14ac:dyDescent="0.15">
      <c r="G316">
        <v>297</v>
      </c>
      <c r="H316">
        <v>192.08202952451126</v>
      </c>
      <c r="I316">
        <f t="shared" si="4"/>
        <v>0</v>
      </c>
    </row>
    <row r="317" spans="7:9" x14ac:dyDescent="0.15">
      <c r="G317">
        <v>298</v>
      </c>
      <c r="H317">
        <v>-258.93924646306215</v>
      </c>
      <c r="I317">
        <f t="shared" si="4"/>
        <v>1</v>
      </c>
    </row>
    <row r="318" spans="7:9" x14ac:dyDescent="0.15">
      <c r="G318">
        <v>299</v>
      </c>
      <c r="H318">
        <v>-23.120506348864168</v>
      </c>
      <c r="I318">
        <f t="shared" si="4"/>
        <v>1</v>
      </c>
    </row>
    <row r="319" spans="7:9" x14ac:dyDescent="0.15">
      <c r="G319">
        <v>300</v>
      </c>
      <c r="H319">
        <v>90.779880544129526</v>
      </c>
      <c r="I319">
        <f t="shared" si="4"/>
        <v>0</v>
      </c>
    </row>
    <row r="320" spans="7:9" x14ac:dyDescent="0.15">
      <c r="G320">
        <v>301</v>
      </c>
      <c r="H320">
        <v>86.521784064423798</v>
      </c>
      <c r="I320">
        <f t="shared" si="4"/>
        <v>0</v>
      </c>
    </row>
    <row r="321" spans="7:9" x14ac:dyDescent="0.15">
      <c r="G321">
        <v>302</v>
      </c>
      <c r="H321">
        <v>-224.83875841259737</v>
      </c>
      <c r="I321">
        <f t="shared" si="4"/>
        <v>1</v>
      </c>
    </row>
    <row r="322" spans="7:9" x14ac:dyDescent="0.15">
      <c r="G322">
        <v>303</v>
      </c>
      <c r="H322">
        <v>-365.46809664073584</v>
      </c>
      <c r="I322">
        <f t="shared" si="4"/>
        <v>1</v>
      </c>
    </row>
    <row r="323" spans="7:9" x14ac:dyDescent="0.15">
      <c r="G323">
        <v>304</v>
      </c>
      <c r="H323">
        <v>225.75642952299927</v>
      </c>
      <c r="I323">
        <f t="shared" si="4"/>
        <v>0</v>
      </c>
    </row>
    <row r="324" spans="7:9" x14ac:dyDescent="0.15">
      <c r="G324">
        <v>305</v>
      </c>
      <c r="H324">
        <v>17.268902645140074</v>
      </c>
      <c r="I324">
        <f t="shared" si="4"/>
        <v>0</v>
      </c>
    </row>
    <row r="325" spans="7:9" x14ac:dyDescent="0.15">
      <c r="G325">
        <v>306</v>
      </c>
      <c r="H325">
        <v>347.70359238991051</v>
      </c>
      <c r="I325">
        <f t="shared" si="4"/>
        <v>0</v>
      </c>
    </row>
    <row r="326" spans="7:9" x14ac:dyDescent="0.15">
      <c r="G326">
        <v>307</v>
      </c>
      <c r="H326">
        <v>126.53070255075994</v>
      </c>
      <c r="I326">
        <f t="shared" si="4"/>
        <v>0</v>
      </c>
    </row>
    <row r="327" spans="7:9" x14ac:dyDescent="0.15">
      <c r="G327">
        <v>308</v>
      </c>
      <c r="H327">
        <v>29.372215967234496</v>
      </c>
      <c r="I327">
        <f t="shared" si="4"/>
        <v>0</v>
      </c>
    </row>
    <row r="328" spans="7:9" x14ac:dyDescent="0.15">
      <c r="G328">
        <v>309</v>
      </c>
      <c r="H328">
        <v>244.20380606056386</v>
      </c>
      <c r="I328">
        <f t="shared" si="4"/>
        <v>0</v>
      </c>
    </row>
    <row r="329" spans="7:9" x14ac:dyDescent="0.15">
      <c r="G329">
        <v>310</v>
      </c>
      <c r="H329">
        <v>330.25755204795234</v>
      </c>
      <c r="I329">
        <f t="shared" si="4"/>
        <v>0</v>
      </c>
    </row>
    <row r="330" spans="7:9" x14ac:dyDescent="0.15">
      <c r="G330">
        <v>311</v>
      </c>
      <c r="H330">
        <v>-357.71593425991853</v>
      </c>
      <c r="I330">
        <f t="shared" si="4"/>
        <v>1</v>
      </c>
    </row>
    <row r="331" spans="7:9" x14ac:dyDescent="0.15">
      <c r="G331">
        <v>312</v>
      </c>
      <c r="H331">
        <v>-173.28906903669667</v>
      </c>
      <c r="I331">
        <f t="shared" si="4"/>
        <v>1</v>
      </c>
    </row>
    <row r="332" spans="7:9" x14ac:dyDescent="0.15">
      <c r="G332">
        <v>313</v>
      </c>
      <c r="H332">
        <v>-298.73165105601862</v>
      </c>
      <c r="I332">
        <f t="shared" si="4"/>
        <v>1</v>
      </c>
    </row>
    <row r="333" spans="7:9" x14ac:dyDescent="0.15">
      <c r="G333">
        <v>314</v>
      </c>
      <c r="H333">
        <v>-30.120502827684732</v>
      </c>
      <c r="I333">
        <f t="shared" si="4"/>
        <v>1</v>
      </c>
    </row>
    <row r="334" spans="7:9" x14ac:dyDescent="0.15">
      <c r="G334">
        <v>315</v>
      </c>
      <c r="H334">
        <v>167.8190705543696</v>
      </c>
      <c r="I334">
        <f t="shared" si="4"/>
        <v>0</v>
      </c>
    </row>
    <row r="335" spans="7:9" x14ac:dyDescent="0.15">
      <c r="G335">
        <v>316</v>
      </c>
      <c r="H335">
        <v>528.33966717580165</v>
      </c>
      <c r="I335">
        <f t="shared" si="4"/>
        <v>0</v>
      </c>
    </row>
    <row r="336" spans="7:9" x14ac:dyDescent="0.15">
      <c r="G336">
        <v>317</v>
      </c>
      <c r="H336">
        <v>-3.2708510845727545</v>
      </c>
      <c r="I336">
        <f t="shared" si="4"/>
        <v>1</v>
      </c>
    </row>
    <row r="337" spans="7:9" x14ac:dyDescent="0.15">
      <c r="G337">
        <v>318</v>
      </c>
      <c r="H337">
        <v>-128.43516144076273</v>
      </c>
      <c r="I337">
        <f t="shared" si="4"/>
        <v>1</v>
      </c>
    </row>
    <row r="338" spans="7:9" x14ac:dyDescent="0.15">
      <c r="G338">
        <v>319</v>
      </c>
      <c r="H338">
        <v>196.74870498799351</v>
      </c>
      <c r="I338">
        <f t="shared" si="4"/>
        <v>0</v>
      </c>
    </row>
    <row r="339" spans="7:9" x14ac:dyDescent="0.15">
      <c r="G339">
        <v>320</v>
      </c>
      <c r="H339">
        <v>25.784754997124921</v>
      </c>
      <c r="I339">
        <f t="shared" si="4"/>
        <v>0</v>
      </c>
    </row>
    <row r="340" spans="7:9" x14ac:dyDescent="0.15">
      <c r="G340">
        <v>321</v>
      </c>
      <c r="H340">
        <v>-125.73679303672249</v>
      </c>
      <c r="I340">
        <f t="shared" si="4"/>
        <v>1</v>
      </c>
    </row>
    <row r="341" spans="7:9" x14ac:dyDescent="0.15">
      <c r="G341">
        <v>322</v>
      </c>
      <c r="H341">
        <v>786.20076154196272</v>
      </c>
      <c r="I341">
        <f t="shared" ref="I341:I404" si="5">IF(H341&lt;0,1,0)</f>
        <v>0</v>
      </c>
    </row>
    <row r="342" spans="7:9" x14ac:dyDescent="0.15">
      <c r="G342">
        <v>323</v>
      </c>
      <c r="H342">
        <v>260.90900903121678</v>
      </c>
      <c r="I342">
        <f t="shared" si="5"/>
        <v>0</v>
      </c>
    </row>
    <row r="343" spans="7:9" x14ac:dyDescent="0.15">
      <c r="G343">
        <v>324</v>
      </c>
      <c r="H343">
        <v>95.679616161455272</v>
      </c>
      <c r="I343">
        <f t="shared" si="5"/>
        <v>0</v>
      </c>
    </row>
    <row r="344" spans="7:9" x14ac:dyDescent="0.15">
      <c r="G344">
        <v>325</v>
      </c>
      <c r="H344">
        <v>3.7015629664537215</v>
      </c>
      <c r="I344">
        <f t="shared" si="5"/>
        <v>0</v>
      </c>
    </row>
    <row r="345" spans="7:9" x14ac:dyDescent="0.15">
      <c r="G345">
        <v>326</v>
      </c>
      <c r="H345">
        <v>-276.02779345556598</v>
      </c>
      <c r="I345">
        <f t="shared" si="5"/>
        <v>1</v>
      </c>
    </row>
    <row r="346" spans="7:9" x14ac:dyDescent="0.15">
      <c r="G346">
        <v>327</v>
      </c>
      <c r="H346">
        <v>-219.5292837942481</v>
      </c>
      <c r="I346">
        <f t="shared" si="5"/>
        <v>1</v>
      </c>
    </row>
    <row r="347" spans="7:9" x14ac:dyDescent="0.15">
      <c r="G347">
        <v>328</v>
      </c>
      <c r="H347">
        <v>-124.85886348003643</v>
      </c>
      <c r="I347">
        <f t="shared" si="5"/>
        <v>1</v>
      </c>
    </row>
    <row r="348" spans="7:9" x14ac:dyDescent="0.15">
      <c r="G348">
        <v>329</v>
      </c>
      <c r="H348">
        <v>-200.83476278742506</v>
      </c>
      <c r="I348">
        <f t="shared" si="5"/>
        <v>1</v>
      </c>
    </row>
    <row r="349" spans="7:9" x14ac:dyDescent="0.15">
      <c r="G349">
        <v>330</v>
      </c>
      <c r="H349">
        <v>74.589878871143839</v>
      </c>
      <c r="I349">
        <f t="shared" si="5"/>
        <v>0</v>
      </c>
    </row>
    <row r="350" spans="7:9" x14ac:dyDescent="0.15">
      <c r="G350">
        <v>331</v>
      </c>
      <c r="H350">
        <v>-82.207711059188824</v>
      </c>
      <c r="I350">
        <f t="shared" si="5"/>
        <v>1</v>
      </c>
    </row>
    <row r="351" spans="7:9" x14ac:dyDescent="0.15">
      <c r="G351">
        <v>332</v>
      </c>
      <c r="H351">
        <v>493.21921796405945</v>
      </c>
      <c r="I351">
        <f t="shared" si="5"/>
        <v>0</v>
      </c>
    </row>
    <row r="352" spans="7:9" x14ac:dyDescent="0.15">
      <c r="G352">
        <v>333</v>
      </c>
      <c r="H352">
        <v>344.93130370158434</v>
      </c>
      <c r="I352">
        <f t="shared" si="5"/>
        <v>0</v>
      </c>
    </row>
    <row r="353" spans="7:9" x14ac:dyDescent="0.15">
      <c r="G353">
        <v>334</v>
      </c>
      <c r="H353">
        <v>-76.353506396012165</v>
      </c>
      <c r="I353">
        <f t="shared" si="5"/>
        <v>1</v>
      </c>
    </row>
    <row r="354" spans="7:9" x14ac:dyDescent="0.15">
      <c r="G354">
        <v>335</v>
      </c>
      <c r="H354">
        <v>-106.21974135353868</v>
      </c>
      <c r="I354">
        <f t="shared" si="5"/>
        <v>1</v>
      </c>
    </row>
    <row r="355" spans="7:9" x14ac:dyDescent="0.15">
      <c r="G355">
        <v>336</v>
      </c>
      <c r="H355">
        <v>-204.68151687830644</v>
      </c>
      <c r="I355">
        <f t="shared" si="5"/>
        <v>1</v>
      </c>
    </row>
    <row r="356" spans="7:9" x14ac:dyDescent="0.15">
      <c r="G356">
        <v>337</v>
      </c>
      <c r="H356">
        <v>89.646412563109749</v>
      </c>
      <c r="I356">
        <f t="shared" si="5"/>
        <v>0</v>
      </c>
    </row>
    <row r="357" spans="7:9" x14ac:dyDescent="0.15">
      <c r="G357">
        <v>338</v>
      </c>
      <c r="H357">
        <v>187.7067281682921</v>
      </c>
      <c r="I357">
        <f t="shared" si="5"/>
        <v>0</v>
      </c>
    </row>
    <row r="358" spans="7:9" x14ac:dyDescent="0.15">
      <c r="G358">
        <v>339</v>
      </c>
      <c r="H358">
        <v>72.616839076921508</v>
      </c>
      <c r="I358">
        <f t="shared" si="5"/>
        <v>0</v>
      </c>
    </row>
    <row r="359" spans="7:9" x14ac:dyDescent="0.15">
      <c r="G359">
        <v>340</v>
      </c>
      <c r="H359">
        <v>-34.011142016060475</v>
      </c>
      <c r="I359">
        <f t="shared" si="5"/>
        <v>1</v>
      </c>
    </row>
    <row r="360" spans="7:9" x14ac:dyDescent="0.15">
      <c r="G360">
        <v>341</v>
      </c>
      <c r="H360">
        <v>87.604382048421598</v>
      </c>
      <c r="I360">
        <f t="shared" si="5"/>
        <v>0</v>
      </c>
    </row>
    <row r="361" spans="7:9" x14ac:dyDescent="0.15">
      <c r="G361">
        <v>342</v>
      </c>
      <c r="H361">
        <v>236.52398259838111</v>
      </c>
      <c r="I361">
        <f t="shared" si="5"/>
        <v>0</v>
      </c>
    </row>
    <row r="362" spans="7:9" x14ac:dyDescent="0.15">
      <c r="G362">
        <v>343</v>
      </c>
      <c r="H362">
        <v>-160.52994102018246</v>
      </c>
      <c r="I362">
        <f t="shared" si="5"/>
        <v>1</v>
      </c>
    </row>
    <row r="363" spans="7:9" x14ac:dyDescent="0.15">
      <c r="G363">
        <v>344</v>
      </c>
      <c r="H363">
        <v>-286.13561127430586</v>
      </c>
      <c r="I363">
        <f t="shared" si="5"/>
        <v>1</v>
      </c>
    </row>
    <row r="364" spans="7:9" x14ac:dyDescent="0.15">
      <c r="G364">
        <v>345</v>
      </c>
      <c r="H364">
        <v>332.41789498542448</v>
      </c>
      <c r="I364">
        <f t="shared" si="5"/>
        <v>0</v>
      </c>
    </row>
    <row r="365" spans="7:9" x14ac:dyDescent="0.15">
      <c r="G365">
        <v>346</v>
      </c>
      <c r="H365">
        <v>-66.996401634716136</v>
      </c>
      <c r="I365">
        <f t="shared" si="5"/>
        <v>1</v>
      </c>
    </row>
    <row r="366" spans="7:9" x14ac:dyDescent="0.15">
      <c r="G366">
        <v>347</v>
      </c>
      <c r="H366">
        <v>-237.82118525473206</v>
      </c>
      <c r="I366">
        <f t="shared" si="5"/>
        <v>1</v>
      </c>
    </row>
    <row r="367" spans="7:9" x14ac:dyDescent="0.15">
      <c r="G367">
        <v>348</v>
      </c>
      <c r="H367">
        <v>-235.52626613040439</v>
      </c>
      <c r="I367">
        <f t="shared" si="5"/>
        <v>1</v>
      </c>
    </row>
    <row r="368" spans="7:9" x14ac:dyDescent="0.15">
      <c r="G368">
        <v>349</v>
      </c>
      <c r="H368">
        <v>-11.469034770972677</v>
      </c>
      <c r="I368">
        <f t="shared" si="5"/>
        <v>1</v>
      </c>
    </row>
    <row r="369" spans="7:9" x14ac:dyDescent="0.15">
      <c r="G369">
        <v>350</v>
      </c>
      <c r="H369">
        <v>3.7719114003679408</v>
      </c>
      <c r="I369">
        <f t="shared" si="5"/>
        <v>0</v>
      </c>
    </row>
    <row r="370" spans="7:9" x14ac:dyDescent="0.15">
      <c r="G370">
        <v>351</v>
      </c>
      <c r="H370">
        <v>-8.2689501726179699</v>
      </c>
      <c r="I370">
        <f t="shared" si="5"/>
        <v>1</v>
      </c>
    </row>
    <row r="371" spans="7:9" x14ac:dyDescent="0.15">
      <c r="G371">
        <v>352</v>
      </c>
      <c r="H371">
        <v>-18.960972921371763</v>
      </c>
      <c r="I371">
        <f t="shared" si="5"/>
        <v>1</v>
      </c>
    </row>
    <row r="372" spans="7:9" x14ac:dyDescent="0.15">
      <c r="G372">
        <v>353</v>
      </c>
      <c r="H372">
        <v>103.49290549574977</v>
      </c>
      <c r="I372">
        <f t="shared" si="5"/>
        <v>0</v>
      </c>
    </row>
    <row r="373" spans="7:9" x14ac:dyDescent="0.15">
      <c r="G373">
        <v>354</v>
      </c>
      <c r="H373">
        <v>-12.188776931103234</v>
      </c>
      <c r="I373">
        <f t="shared" si="5"/>
        <v>1</v>
      </c>
    </row>
    <row r="374" spans="7:9" x14ac:dyDescent="0.15">
      <c r="G374">
        <v>355</v>
      </c>
      <c r="H374">
        <v>282.85343723594201</v>
      </c>
      <c r="I374">
        <f t="shared" si="5"/>
        <v>0</v>
      </c>
    </row>
    <row r="375" spans="7:9" x14ac:dyDescent="0.15">
      <c r="G375">
        <v>356</v>
      </c>
      <c r="H375">
        <v>155.6605834212485</v>
      </c>
      <c r="I375">
        <f t="shared" si="5"/>
        <v>0</v>
      </c>
    </row>
    <row r="376" spans="7:9" x14ac:dyDescent="0.15">
      <c r="G376">
        <v>357</v>
      </c>
      <c r="H376">
        <v>20.339844904920383</v>
      </c>
      <c r="I376">
        <f t="shared" si="5"/>
        <v>0</v>
      </c>
    </row>
    <row r="377" spans="7:9" x14ac:dyDescent="0.15">
      <c r="G377">
        <v>358</v>
      </c>
      <c r="H377">
        <v>-65.693125868498726</v>
      </c>
      <c r="I377">
        <f t="shared" si="5"/>
        <v>1</v>
      </c>
    </row>
    <row r="378" spans="7:9" x14ac:dyDescent="0.15">
      <c r="G378">
        <v>359</v>
      </c>
      <c r="H378">
        <v>541.99826558329562</v>
      </c>
      <c r="I378">
        <f t="shared" si="5"/>
        <v>0</v>
      </c>
    </row>
    <row r="379" spans="7:9" x14ac:dyDescent="0.15">
      <c r="G379">
        <v>360</v>
      </c>
      <c r="H379">
        <v>259.30258075257376</v>
      </c>
      <c r="I379">
        <f t="shared" si="5"/>
        <v>0</v>
      </c>
    </row>
    <row r="380" spans="7:9" x14ac:dyDescent="0.15">
      <c r="G380">
        <v>361</v>
      </c>
      <c r="H380">
        <v>-195.16441016705349</v>
      </c>
      <c r="I380">
        <f t="shared" si="5"/>
        <v>1</v>
      </c>
    </row>
    <row r="381" spans="7:9" x14ac:dyDescent="0.15">
      <c r="G381">
        <v>362</v>
      </c>
      <c r="H381">
        <v>59.955731410139819</v>
      </c>
      <c r="I381">
        <f t="shared" si="5"/>
        <v>0</v>
      </c>
    </row>
    <row r="382" spans="7:9" x14ac:dyDescent="0.15">
      <c r="G382">
        <v>363</v>
      </c>
      <c r="H382">
        <v>-68.167654809870513</v>
      </c>
      <c r="I382">
        <f t="shared" si="5"/>
        <v>1</v>
      </c>
    </row>
    <row r="383" spans="7:9" x14ac:dyDescent="0.15">
      <c r="G383">
        <v>364</v>
      </c>
      <c r="H383">
        <v>88.848750759311159</v>
      </c>
      <c r="I383">
        <f t="shared" si="5"/>
        <v>0</v>
      </c>
    </row>
    <row r="384" spans="7:9" x14ac:dyDescent="0.15">
      <c r="G384">
        <v>365</v>
      </c>
      <c r="H384">
        <v>-88.230586490159155</v>
      </c>
      <c r="I384">
        <f t="shared" si="5"/>
        <v>1</v>
      </c>
    </row>
    <row r="385" spans="7:9" x14ac:dyDescent="0.15">
      <c r="G385">
        <v>366</v>
      </c>
      <c r="H385">
        <v>-297.70305284563659</v>
      </c>
      <c r="I385">
        <f t="shared" si="5"/>
        <v>1</v>
      </c>
    </row>
    <row r="386" spans="7:9" x14ac:dyDescent="0.15">
      <c r="G386">
        <v>367</v>
      </c>
      <c r="H386">
        <v>140.99968647643311</v>
      </c>
      <c r="I386">
        <f t="shared" si="5"/>
        <v>0</v>
      </c>
    </row>
    <row r="387" spans="7:9" x14ac:dyDescent="0.15">
      <c r="G387">
        <v>368</v>
      </c>
      <c r="H387">
        <v>62.376548790904991</v>
      </c>
      <c r="I387">
        <f t="shared" si="5"/>
        <v>0</v>
      </c>
    </row>
    <row r="388" spans="7:9" x14ac:dyDescent="0.15">
      <c r="G388">
        <v>369</v>
      </c>
      <c r="H388">
        <v>-28.169105021647461</v>
      </c>
      <c r="I388">
        <f t="shared" si="5"/>
        <v>1</v>
      </c>
    </row>
    <row r="389" spans="7:9" x14ac:dyDescent="0.15">
      <c r="G389">
        <v>370</v>
      </c>
      <c r="H389">
        <v>120.67230828696414</v>
      </c>
      <c r="I389">
        <f t="shared" si="5"/>
        <v>0</v>
      </c>
    </row>
    <row r="390" spans="7:9" x14ac:dyDescent="0.15">
      <c r="G390">
        <v>371</v>
      </c>
      <c r="H390">
        <v>19.717900629742346</v>
      </c>
      <c r="I390">
        <f t="shared" si="5"/>
        <v>0</v>
      </c>
    </row>
    <row r="391" spans="7:9" x14ac:dyDescent="0.15">
      <c r="G391">
        <v>372</v>
      </c>
      <c r="H391">
        <v>39.948744548751407</v>
      </c>
      <c r="I391">
        <f t="shared" si="5"/>
        <v>0</v>
      </c>
    </row>
    <row r="392" spans="7:9" x14ac:dyDescent="0.15">
      <c r="G392">
        <v>373</v>
      </c>
      <c r="H392">
        <v>345.8325194690666</v>
      </c>
      <c r="I392">
        <f t="shared" si="5"/>
        <v>0</v>
      </c>
    </row>
    <row r="393" spans="7:9" x14ac:dyDescent="0.15">
      <c r="G393">
        <v>374</v>
      </c>
      <c r="H393">
        <v>13.916392341609495</v>
      </c>
      <c r="I393">
        <f t="shared" si="5"/>
        <v>0</v>
      </c>
    </row>
    <row r="394" spans="7:9" x14ac:dyDescent="0.15">
      <c r="G394">
        <v>375</v>
      </c>
      <c r="H394">
        <v>-21.737422774711717</v>
      </c>
      <c r="I394">
        <f t="shared" si="5"/>
        <v>1</v>
      </c>
    </row>
    <row r="395" spans="7:9" x14ac:dyDescent="0.15">
      <c r="G395">
        <v>376</v>
      </c>
      <c r="H395">
        <v>-113.3603026683509</v>
      </c>
      <c r="I395">
        <f t="shared" si="5"/>
        <v>1</v>
      </c>
    </row>
    <row r="396" spans="7:9" x14ac:dyDescent="0.15">
      <c r="G396">
        <v>377</v>
      </c>
      <c r="H396">
        <v>-142.20014247753969</v>
      </c>
      <c r="I396">
        <f t="shared" si="5"/>
        <v>1</v>
      </c>
    </row>
    <row r="397" spans="7:9" x14ac:dyDescent="0.15">
      <c r="G397">
        <v>378</v>
      </c>
      <c r="H397">
        <v>-265.46626318499966</v>
      </c>
      <c r="I397">
        <f t="shared" si="5"/>
        <v>1</v>
      </c>
    </row>
    <row r="398" spans="7:9" x14ac:dyDescent="0.15">
      <c r="G398">
        <v>379</v>
      </c>
      <c r="H398">
        <v>164.42507040790292</v>
      </c>
      <c r="I398">
        <f t="shared" si="5"/>
        <v>0</v>
      </c>
    </row>
    <row r="399" spans="7:9" x14ac:dyDescent="0.15">
      <c r="G399">
        <v>380</v>
      </c>
      <c r="H399">
        <v>251.84851565052736</v>
      </c>
      <c r="I399">
        <f t="shared" si="5"/>
        <v>0</v>
      </c>
    </row>
    <row r="400" spans="7:9" x14ac:dyDescent="0.15">
      <c r="G400">
        <v>381</v>
      </c>
      <c r="H400">
        <v>47.551915072203975</v>
      </c>
      <c r="I400">
        <f t="shared" si="5"/>
        <v>0</v>
      </c>
    </row>
    <row r="401" spans="7:9" x14ac:dyDescent="0.15">
      <c r="G401">
        <v>382</v>
      </c>
      <c r="H401">
        <v>-144.99944099930286</v>
      </c>
      <c r="I401">
        <f t="shared" si="5"/>
        <v>1</v>
      </c>
    </row>
    <row r="402" spans="7:9" x14ac:dyDescent="0.15">
      <c r="G402">
        <v>383</v>
      </c>
      <c r="H402">
        <v>378.56369094263732</v>
      </c>
      <c r="I402">
        <f t="shared" si="5"/>
        <v>0</v>
      </c>
    </row>
    <row r="403" spans="7:9" x14ac:dyDescent="0.15">
      <c r="G403">
        <v>384</v>
      </c>
      <c r="H403">
        <v>-227.5337616667756</v>
      </c>
      <c r="I403">
        <f t="shared" si="5"/>
        <v>1</v>
      </c>
    </row>
    <row r="404" spans="7:9" x14ac:dyDescent="0.15">
      <c r="G404">
        <v>385</v>
      </c>
      <c r="H404">
        <v>279.19830091188004</v>
      </c>
      <c r="I404">
        <f t="shared" si="5"/>
        <v>0</v>
      </c>
    </row>
    <row r="405" spans="7:9" x14ac:dyDescent="0.15">
      <c r="G405">
        <v>386</v>
      </c>
      <c r="H405">
        <v>50.416829812837008</v>
      </c>
      <c r="I405">
        <f t="shared" ref="I405:I468" si="6">IF(H405&lt;0,1,0)</f>
        <v>0</v>
      </c>
    </row>
    <row r="406" spans="7:9" x14ac:dyDescent="0.15">
      <c r="G406">
        <v>387</v>
      </c>
      <c r="H406">
        <v>126.79754367483896</v>
      </c>
      <c r="I406">
        <f t="shared" si="6"/>
        <v>0</v>
      </c>
    </row>
    <row r="407" spans="7:9" x14ac:dyDescent="0.15">
      <c r="G407">
        <v>388</v>
      </c>
      <c r="H407">
        <v>-172.03267296453126</v>
      </c>
      <c r="I407">
        <f t="shared" si="6"/>
        <v>1</v>
      </c>
    </row>
    <row r="408" spans="7:9" x14ac:dyDescent="0.15">
      <c r="G408">
        <v>389</v>
      </c>
      <c r="H408">
        <v>62.413783627608339</v>
      </c>
      <c r="I408">
        <f t="shared" si="6"/>
        <v>0</v>
      </c>
    </row>
    <row r="409" spans="7:9" x14ac:dyDescent="0.15">
      <c r="G409">
        <v>390</v>
      </c>
      <c r="H409">
        <v>63.748420991290374</v>
      </c>
      <c r="I409">
        <f t="shared" si="6"/>
        <v>0</v>
      </c>
    </row>
    <row r="410" spans="7:9" x14ac:dyDescent="0.15">
      <c r="G410">
        <v>391</v>
      </c>
      <c r="H410">
        <v>158.98352159690108</v>
      </c>
      <c r="I410">
        <f t="shared" si="6"/>
        <v>0</v>
      </c>
    </row>
    <row r="411" spans="7:9" x14ac:dyDescent="0.15">
      <c r="G411">
        <v>392</v>
      </c>
      <c r="H411">
        <v>70.985407207045114</v>
      </c>
      <c r="I411">
        <f t="shared" si="6"/>
        <v>0</v>
      </c>
    </row>
    <row r="412" spans="7:9" x14ac:dyDescent="0.15">
      <c r="G412">
        <v>393</v>
      </c>
      <c r="H412">
        <v>-158.25957264677385</v>
      </c>
      <c r="I412">
        <f t="shared" si="6"/>
        <v>1</v>
      </c>
    </row>
    <row r="413" spans="7:9" x14ac:dyDescent="0.15">
      <c r="G413">
        <v>394</v>
      </c>
      <c r="H413">
        <v>-204.63363336122808</v>
      </c>
      <c r="I413">
        <f t="shared" si="6"/>
        <v>1</v>
      </c>
    </row>
    <row r="414" spans="7:9" x14ac:dyDescent="0.15">
      <c r="G414">
        <v>395</v>
      </c>
      <c r="H414">
        <v>652.16878187727252</v>
      </c>
      <c r="I414">
        <f t="shared" si="6"/>
        <v>0</v>
      </c>
    </row>
    <row r="415" spans="7:9" x14ac:dyDescent="0.15">
      <c r="G415">
        <v>396</v>
      </c>
      <c r="H415">
        <v>78.496553632251363</v>
      </c>
      <c r="I415">
        <f t="shared" si="6"/>
        <v>0</v>
      </c>
    </row>
    <row r="416" spans="7:9" x14ac:dyDescent="0.15">
      <c r="G416">
        <v>397</v>
      </c>
      <c r="H416">
        <v>23.19795883911155</v>
      </c>
      <c r="I416">
        <f t="shared" si="6"/>
        <v>0</v>
      </c>
    </row>
    <row r="417" spans="7:9" x14ac:dyDescent="0.15">
      <c r="G417">
        <v>398</v>
      </c>
      <c r="H417">
        <v>422.67448158331598</v>
      </c>
      <c r="I417">
        <f t="shared" si="6"/>
        <v>0</v>
      </c>
    </row>
    <row r="418" spans="7:9" x14ac:dyDescent="0.15">
      <c r="G418">
        <v>399</v>
      </c>
      <c r="H418">
        <v>22.345740549754112</v>
      </c>
      <c r="I418">
        <f t="shared" si="6"/>
        <v>0</v>
      </c>
    </row>
    <row r="419" spans="7:9" x14ac:dyDescent="0.15">
      <c r="G419">
        <v>400</v>
      </c>
      <c r="H419">
        <v>-359.84091138798181</v>
      </c>
      <c r="I419">
        <f t="shared" si="6"/>
        <v>1</v>
      </c>
    </row>
    <row r="420" spans="7:9" x14ac:dyDescent="0.15">
      <c r="G420">
        <v>401</v>
      </c>
      <c r="H420">
        <v>149.4414764430266</v>
      </c>
      <c r="I420">
        <f t="shared" si="6"/>
        <v>0</v>
      </c>
    </row>
    <row r="421" spans="7:9" x14ac:dyDescent="0.15">
      <c r="G421">
        <v>402</v>
      </c>
      <c r="H421">
        <v>-143.26294107826422</v>
      </c>
      <c r="I421">
        <f t="shared" si="6"/>
        <v>1</v>
      </c>
    </row>
    <row r="422" spans="7:9" x14ac:dyDescent="0.15">
      <c r="G422">
        <v>403</v>
      </c>
      <c r="H422">
        <v>6.994092400415937</v>
      </c>
      <c r="I422">
        <f t="shared" si="6"/>
        <v>0</v>
      </c>
    </row>
    <row r="423" spans="7:9" x14ac:dyDescent="0.15">
      <c r="G423">
        <v>404</v>
      </c>
      <c r="H423">
        <v>183.97088114712784</v>
      </c>
      <c r="I423">
        <f t="shared" si="6"/>
        <v>0</v>
      </c>
    </row>
    <row r="424" spans="7:9" x14ac:dyDescent="0.15">
      <c r="G424">
        <v>405</v>
      </c>
      <c r="H424">
        <v>71.319824251191932</v>
      </c>
      <c r="I424">
        <f t="shared" si="6"/>
        <v>0</v>
      </c>
    </row>
    <row r="425" spans="7:9" x14ac:dyDescent="0.15">
      <c r="G425">
        <v>406</v>
      </c>
      <c r="H425">
        <v>-119.2859219771349</v>
      </c>
      <c r="I425">
        <f t="shared" si="6"/>
        <v>1</v>
      </c>
    </row>
    <row r="426" spans="7:9" x14ac:dyDescent="0.15">
      <c r="G426">
        <v>407</v>
      </c>
      <c r="H426">
        <v>-29.772785354875793</v>
      </c>
      <c r="I426">
        <f t="shared" si="6"/>
        <v>1</v>
      </c>
    </row>
    <row r="427" spans="7:9" x14ac:dyDescent="0.15">
      <c r="G427">
        <v>408</v>
      </c>
      <c r="H427">
        <v>150.30624648800759</v>
      </c>
      <c r="I427">
        <f t="shared" si="6"/>
        <v>0</v>
      </c>
    </row>
    <row r="428" spans="7:9" x14ac:dyDescent="0.15">
      <c r="G428">
        <v>409</v>
      </c>
      <c r="H428">
        <v>-71.494928623815099</v>
      </c>
      <c r="I428">
        <f t="shared" si="6"/>
        <v>1</v>
      </c>
    </row>
    <row r="429" spans="7:9" x14ac:dyDescent="0.15">
      <c r="G429">
        <v>410</v>
      </c>
      <c r="H429">
        <v>-265.43193063511404</v>
      </c>
      <c r="I429">
        <f t="shared" si="6"/>
        <v>1</v>
      </c>
    </row>
    <row r="430" spans="7:9" x14ac:dyDescent="0.15">
      <c r="G430">
        <v>411</v>
      </c>
      <c r="H430">
        <v>-15.865270849448102</v>
      </c>
      <c r="I430">
        <f t="shared" si="6"/>
        <v>1</v>
      </c>
    </row>
    <row r="431" spans="7:9" x14ac:dyDescent="0.15">
      <c r="G431">
        <v>412</v>
      </c>
      <c r="H431">
        <v>450.69312492210577</v>
      </c>
      <c r="I431">
        <f t="shared" si="6"/>
        <v>0</v>
      </c>
    </row>
    <row r="432" spans="7:9" x14ac:dyDescent="0.15">
      <c r="G432">
        <v>413</v>
      </c>
      <c r="H432">
        <v>-293.43567822849701</v>
      </c>
      <c r="I432">
        <f t="shared" si="6"/>
        <v>1</v>
      </c>
    </row>
    <row r="433" spans="7:9" x14ac:dyDescent="0.15">
      <c r="G433">
        <v>414</v>
      </c>
      <c r="H433">
        <v>143.16232801247196</v>
      </c>
      <c r="I433">
        <f t="shared" si="6"/>
        <v>0</v>
      </c>
    </row>
    <row r="434" spans="7:9" x14ac:dyDescent="0.15">
      <c r="G434">
        <v>415</v>
      </c>
      <c r="H434">
        <v>-93.329243662374154</v>
      </c>
      <c r="I434">
        <f t="shared" si="6"/>
        <v>1</v>
      </c>
    </row>
    <row r="435" spans="7:9" x14ac:dyDescent="0.15">
      <c r="G435">
        <v>416</v>
      </c>
      <c r="H435">
        <v>261.85192184182552</v>
      </c>
      <c r="I435">
        <f t="shared" si="6"/>
        <v>0</v>
      </c>
    </row>
    <row r="436" spans="7:9" x14ac:dyDescent="0.15">
      <c r="G436">
        <v>417</v>
      </c>
      <c r="H436">
        <v>237.81690593619186</v>
      </c>
      <c r="I436">
        <f t="shared" si="6"/>
        <v>0</v>
      </c>
    </row>
    <row r="437" spans="7:9" x14ac:dyDescent="0.15">
      <c r="G437">
        <v>418</v>
      </c>
      <c r="H437">
        <v>289.02499409308723</v>
      </c>
      <c r="I437">
        <f t="shared" si="6"/>
        <v>0</v>
      </c>
    </row>
    <row r="438" spans="7:9" x14ac:dyDescent="0.15">
      <c r="G438">
        <v>419</v>
      </c>
      <c r="H438">
        <v>306.47445207856276</v>
      </c>
      <c r="I438">
        <f t="shared" si="6"/>
        <v>0</v>
      </c>
    </row>
    <row r="439" spans="7:9" x14ac:dyDescent="0.15">
      <c r="G439">
        <v>420</v>
      </c>
      <c r="H439">
        <v>23.598360647845922</v>
      </c>
      <c r="I439">
        <f t="shared" si="6"/>
        <v>0</v>
      </c>
    </row>
    <row r="440" spans="7:9" x14ac:dyDescent="0.15">
      <c r="G440">
        <v>421</v>
      </c>
      <c r="H440">
        <v>111.85007574621379</v>
      </c>
      <c r="I440">
        <f t="shared" si="6"/>
        <v>0</v>
      </c>
    </row>
    <row r="441" spans="7:9" x14ac:dyDescent="0.15">
      <c r="G441">
        <v>422</v>
      </c>
      <c r="H441">
        <v>-409.17176277676731</v>
      </c>
      <c r="I441">
        <f t="shared" si="6"/>
        <v>1</v>
      </c>
    </row>
    <row r="442" spans="7:9" x14ac:dyDescent="0.15">
      <c r="G442">
        <v>423</v>
      </c>
      <c r="H442">
        <v>9.1812467975228031</v>
      </c>
      <c r="I442">
        <f t="shared" si="6"/>
        <v>0</v>
      </c>
    </row>
    <row r="443" spans="7:9" x14ac:dyDescent="0.15">
      <c r="G443">
        <v>424</v>
      </c>
      <c r="H443">
        <v>443.04775331101348</v>
      </c>
      <c r="I443">
        <f t="shared" si="6"/>
        <v>0</v>
      </c>
    </row>
    <row r="444" spans="7:9" x14ac:dyDescent="0.15">
      <c r="G444">
        <v>425</v>
      </c>
      <c r="H444">
        <v>391.10046758313985</v>
      </c>
      <c r="I444">
        <f t="shared" si="6"/>
        <v>0</v>
      </c>
    </row>
    <row r="445" spans="7:9" x14ac:dyDescent="0.15">
      <c r="G445">
        <v>426</v>
      </c>
      <c r="H445">
        <v>409.00292974189387</v>
      </c>
      <c r="I445">
        <f t="shared" si="6"/>
        <v>0</v>
      </c>
    </row>
    <row r="446" spans="7:9" x14ac:dyDescent="0.15">
      <c r="G446">
        <v>427</v>
      </c>
      <c r="H446">
        <v>424.24704107576508</v>
      </c>
      <c r="I446">
        <f t="shared" si="6"/>
        <v>0</v>
      </c>
    </row>
    <row r="447" spans="7:9" x14ac:dyDescent="0.15">
      <c r="G447">
        <v>428</v>
      </c>
      <c r="H447">
        <v>-219.37713274385655</v>
      </c>
      <c r="I447">
        <f t="shared" si="6"/>
        <v>1</v>
      </c>
    </row>
    <row r="448" spans="7:9" x14ac:dyDescent="0.15">
      <c r="G448">
        <v>429</v>
      </c>
      <c r="H448">
        <v>-68.631004555418514</v>
      </c>
      <c r="I448">
        <f t="shared" si="6"/>
        <v>1</v>
      </c>
    </row>
    <row r="449" spans="7:9" x14ac:dyDescent="0.15">
      <c r="G449">
        <v>430</v>
      </c>
      <c r="H449">
        <v>-117.91089874316611</v>
      </c>
      <c r="I449">
        <f t="shared" si="6"/>
        <v>1</v>
      </c>
    </row>
    <row r="450" spans="7:9" x14ac:dyDescent="0.15">
      <c r="G450">
        <v>431</v>
      </c>
      <c r="H450">
        <v>-49.273556811349408</v>
      </c>
      <c r="I450">
        <f t="shared" si="6"/>
        <v>1</v>
      </c>
    </row>
    <row r="451" spans="7:9" x14ac:dyDescent="0.15">
      <c r="G451">
        <v>432</v>
      </c>
      <c r="H451">
        <v>355.06081336153829</v>
      </c>
      <c r="I451">
        <f t="shared" si="6"/>
        <v>0</v>
      </c>
    </row>
    <row r="452" spans="7:9" x14ac:dyDescent="0.15">
      <c r="G452">
        <v>433</v>
      </c>
      <c r="H452">
        <v>396.02930434800987</v>
      </c>
      <c r="I452">
        <f t="shared" si="6"/>
        <v>0</v>
      </c>
    </row>
    <row r="453" spans="7:9" x14ac:dyDescent="0.15">
      <c r="G453">
        <v>434</v>
      </c>
      <c r="H453">
        <v>148.00963329972413</v>
      </c>
      <c r="I453">
        <f t="shared" si="6"/>
        <v>0</v>
      </c>
    </row>
    <row r="454" spans="7:9" x14ac:dyDescent="0.15">
      <c r="G454">
        <v>435</v>
      </c>
      <c r="H454">
        <v>-141.5923925305319</v>
      </c>
      <c r="I454">
        <f t="shared" si="6"/>
        <v>1</v>
      </c>
    </row>
    <row r="455" spans="7:9" x14ac:dyDescent="0.15">
      <c r="G455">
        <v>436</v>
      </c>
      <c r="H455">
        <v>-343.81428444126243</v>
      </c>
      <c r="I455">
        <f t="shared" si="6"/>
        <v>1</v>
      </c>
    </row>
    <row r="456" spans="7:9" x14ac:dyDescent="0.15">
      <c r="G456">
        <v>437</v>
      </c>
      <c r="H456">
        <v>-88.108866869370104</v>
      </c>
      <c r="I456">
        <f t="shared" si="6"/>
        <v>1</v>
      </c>
    </row>
    <row r="457" spans="7:9" x14ac:dyDescent="0.15">
      <c r="G457">
        <v>438</v>
      </c>
      <c r="H457">
        <v>301.30210859714009</v>
      </c>
      <c r="I457">
        <f t="shared" si="6"/>
        <v>0</v>
      </c>
    </row>
    <row r="458" spans="7:9" x14ac:dyDescent="0.15">
      <c r="G458">
        <v>439</v>
      </c>
      <c r="H458">
        <v>117.07595634422687</v>
      </c>
      <c r="I458">
        <f t="shared" si="6"/>
        <v>0</v>
      </c>
    </row>
    <row r="459" spans="7:9" x14ac:dyDescent="0.15">
      <c r="G459">
        <v>440</v>
      </c>
      <c r="H459">
        <v>-151.84049649650331</v>
      </c>
      <c r="I459">
        <f t="shared" si="6"/>
        <v>1</v>
      </c>
    </row>
    <row r="460" spans="7:9" x14ac:dyDescent="0.15">
      <c r="G460">
        <v>441</v>
      </c>
      <c r="H460">
        <v>172.79564210267097</v>
      </c>
      <c r="I460">
        <f t="shared" si="6"/>
        <v>0</v>
      </c>
    </row>
    <row r="461" spans="7:9" x14ac:dyDescent="0.15">
      <c r="G461">
        <v>442</v>
      </c>
      <c r="H461">
        <v>270.69456311169091</v>
      </c>
      <c r="I461">
        <f t="shared" si="6"/>
        <v>0</v>
      </c>
    </row>
    <row r="462" spans="7:9" x14ac:dyDescent="0.15">
      <c r="G462">
        <v>443</v>
      </c>
      <c r="H462">
        <v>445.57884287130173</v>
      </c>
      <c r="I462">
        <f t="shared" si="6"/>
        <v>0</v>
      </c>
    </row>
    <row r="463" spans="7:9" x14ac:dyDescent="0.15">
      <c r="G463">
        <v>444</v>
      </c>
      <c r="H463">
        <v>-59.138441460403129</v>
      </c>
      <c r="I463">
        <f t="shared" si="6"/>
        <v>1</v>
      </c>
    </row>
    <row r="464" spans="7:9" x14ac:dyDescent="0.15">
      <c r="G464">
        <v>445</v>
      </c>
      <c r="H464">
        <v>317.95040634295924</v>
      </c>
      <c r="I464">
        <f t="shared" si="6"/>
        <v>0</v>
      </c>
    </row>
    <row r="465" spans="7:9" x14ac:dyDescent="0.15">
      <c r="G465">
        <v>446</v>
      </c>
      <c r="H465">
        <v>-26.950219273636364</v>
      </c>
      <c r="I465">
        <f t="shared" si="6"/>
        <v>1</v>
      </c>
    </row>
    <row r="466" spans="7:9" x14ac:dyDescent="0.15">
      <c r="G466">
        <v>447</v>
      </c>
      <c r="H466">
        <v>519.10557200182348</v>
      </c>
      <c r="I466">
        <f t="shared" si="6"/>
        <v>0</v>
      </c>
    </row>
    <row r="467" spans="7:9" x14ac:dyDescent="0.15">
      <c r="G467">
        <v>448</v>
      </c>
      <c r="H467">
        <v>-95.309344361215111</v>
      </c>
      <c r="I467">
        <f t="shared" si="6"/>
        <v>1</v>
      </c>
    </row>
    <row r="468" spans="7:9" x14ac:dyDescent="0.15">
      <c r="G468">
        <v>449</v>
      </c>
      <c r="H468">
        <v>-299.16617696738285</v>
      </c>
      <c r="I468">
        <f t="shared" si="6"/>
        <v>1</v>
      </c>
    </row>
    <row r="469" spans="7:9" x14ac:dyDescent="0.15">
      <c r="G469">
        <v>450</v>
      </c>
      <c r="H469">
        <v>174.29676534311096</v>
      </c>
      <c r="I469">
        <f t="shared" ref="I469:I532" si="7">IF(H469&lt;0,1,0)</f>
        <v>0</v>
      </c>
    </row>
    <row r="470" spans="7:9" x14ac:dyDescent="0.15">
      <c r="G470">
        <v>451</v>
      </c>
      <c r="H470">
        <v>102.18895968627507</v>
      </c>
      <c r="I470">
        <f t="shared" si="7"/>
        <v>0</v>
      </c>
    </row>
    <row r="471" spans="7:9" x14ac:dyDescent="0.15">
      <c r="G471">
        <v>452</v>
      </c>
      <c r="H471">
        <v>-51.885870998293157</v>
      </c>
      <c r="I471">
        <f t="shared" si="7"/>
        <v>1</v>
      </c>
    </row>
    <row r="472" spans="7:9" x14ac:dyDescent="0.15">
      <c r="G472">
        <v>453</v>
      </c>
      <c r="H472">
        <v>23.73721070408763</v>
      </c>
      <c r="I472">
        <f t="shared" si="7"/>
        <v>0</v>
      </c>
    </row>
    <row r="473" spans="7:9" x14ac:dyDescent="0.15">
      <c r="G473">
        <v>454</v>
      </c>
      <c r="H473">
        <v>851.64369686862437</v>
      </c>
      <c r="I473">
        <f t="shared" si="7"/>
        <v>0</v>
      </c>
    </row>
    <row r="474" spans="7:9" x14ac:dyDescent="0.15">
      <c r="G474">
        <v>455</v>
      </c>
      <c r="H474">
        <v>139.72751613300625</v>
      </c>
      <c r="I474">
        <f t="shared" si="7"/>
        <v>0</v>
      </c>
    </row>
    <row r="475" spans="7:9" x14ac:dyDescent="0.15">
      <c r="G475">
        <v>456</v>
      </c>
      <c r="H475">
        <v>334.15160551187279</v>
      </c>
      <c r="I475">
        <f t="shared" si="7"/>
        <v>0</v>
      </c>
    </row>
    <row r="476" spans="7:9" x14ac:dyDescent="0.15">
      <c r="G476">
        <v>457</v>
      </c>
      <c r="H476">
        <v>-204.66523766032662</v>
      </c>
      <c r="I476">
        <f t="shared" si="7"/>
        <v>1</v>
      </c>
    </row>
    <row r="477" spans="7:9" x14ac:dyDescent="0.15">
      <c r="G477">
        <v>458</v>
      </c>
      <c r="H477">
        <v>-84.74600473267715</v>
      </c>
      <c r="I477">
        <f t="shared" si="7"/>
        <v>1</v>
      </c>
    </row>
    <row r="478" spans="7:9" x14ac:dyDescent="0.15">
      <c r="G478">
        <v>459</v>
      </c>
      <c r="H478">
        <v>283.03718851063826</v>
      </c>
      <c r="I478">
        <f t="shared" si="7"/>
        <v>0</v>
      </c>
    </row>
    <row r="479" spans="7:9" x14ac:dyDescent="0.15">
      <c r="G479">
        <v>460</v>
      </c>
      <c r="H479">
        <v>-249.08278521087067</v>
      </c>
      <c r="I479">
        <f t="shared" si="7"/>
        <v>1</v>
      </c>
    </row>
    <row r="480" spans="7:9" x14ac:dyDescent="0.15">
      <c r="G480">
        <v>461</v>
      </c>
      <c r="H480">
        <v>141.55718557622413</v>
      </c>
      <c r="I480">
        <f t="shared" si="7"/>
        <v>0</v>
      </c>
    </row>
    <row r="481" spans="7:9" x14ac:dyDescent="0.15">
      <c r="G481">
        <v>462</v>
      </c>
      <c r="H481">
        <v>129.57535264350767</v>
      </c>
      <c r="I481">
        <f t="shared" si="7"/>
        <v>0</v>
      </c>
    </row>
    <row r="482" spans="7:9" x14ac:dyDescent="0.15">
      <c r="G482">
        <v>463</v>
      </c>
      <c r="H482">
        <v>286.219637224689</v>
      </c>
      <c r="I482">
        <f t="shared" si="7"/>
        <v>0</v>
      </c>
    </row>
    <row r="483" spans="7:9" x14ac:dyDescent="0.15">
      <c r="G483">
        <v>464</v>
      </c>
      <c r="H483">
        <v>184.94215658866594</v>
      </c>
      <c r="I483">
        <f t="shared" si="7"/>
        <v>0</v>
      </c>
    </row>
    <row r="484" spans="7:9" x14ac:dyDescent="0.15">
      <c r="G484">
        <v>465</v>
      </c>
      <c r="H484">
        <v>-100.92078898949894</v>
      </c>
      <c r="I484">
        <f t="shared" si="7"/>
        <v>1</v>
      </c>
    </row>
    <row r="485" spans="7:9" x14ac:dyDescent="0.15">
      <c r="G485">
        <v>466</v>
      </c>
      <c r="H485">
        <v>-32.076394526333289</v>
      </c>
      <c r="I485">
        <f t="shared" si="7"/>
        <v>1</v>
      </c>
    </row>
    <row r="486" spans="7:9" x14ac:dyDescent="0.15">
      <c r="G486">
        <v>467</v>
      </c>
      <c r="H486">
        <v>294.92936081202942</v>
      </c>
      <c r="I486">
        <f t="shared" si="7"/>
        <v>0</v>
      </c>
    </row>
    <row r="487" spans="7:9" x14ac:dyDescent="0.15">
      <c r="G487">
        <v>468</v>
      </c>
      <c r="H487">
        <v>144.43563578412562</v>
      </c>
      <c r="I487">
        <f t="shared" si="7"/>
        <v>0</v>
      </c>
    </row>
    <row r="488" spans="7:9" x14ac:dyDescent="0.15">
      <c r="G488">
        <v>469</v>
      </c>
      <c r="H488">
        <v>71.774417904812623</v>
      </c>
      <c r="I488">
        <f t="shared" si="7"/>
        <v>0</v>
      </c>
    </row>
    <row r="489" spans="7:9" x14ac:dyDescent="0.15">
      <c r="G489">
        <v>470</v>
      </c>
      <c r="H489">
        <v>321.97756482053495</v>
      </c>
      <c r="I489">
        <f t="shared" si="7"/>
        <v>0</v>
      </c>
    </row>
    <row r="490" spans="7:9" x14ac:dyDescent="0.15">
      <c r="G490">
        <v>471</v>
      </c>
      <c r="H490">
        <v>131.40720606741127</v>
      </c>
      <c r="I490">
        <f t="shared" si="7"/>
        <v>0</v>
      </c>
    </row>
    <row r="491" spans="7:9" x14ac:dyDescent="0.15">
      <c r="G491">
        <v>472</v>
      </c>
      <c r="H491">
        <v>533.64134720638674</v>
      </c>
      <c r="I491">
        <f t="shared" si="7"/>
        <v>0</v>
      </c>
    </row>
    <row r="492" spans="7:9" x14ac:dyDescent="0.15">
      <c r="G492">
        <v>473</v>
      </c>
      <c r="H492">
        <v>451.10452273447225</v>
      </c>
      <c r="I492">
        <f t="shared" si="7"/>
        <v>0</v>
      </c>
    </row>
    <row r="493" spans="7:9" x14ac:dyDescent="0.15">
      <c r="G493">
        <v>474</v>
      </c>
      <c r="H493">
        <v>-69.381751904854397</v>
      </c>
      <c r="I493">
        <f t="shared" si="7"/>
        <v>1</v>
      </c>
    </row>
    <row r="494" spans="7:9" x14ac:dyDescent="0.15">
      <c r="G494">
        <v>475</v>
      </c>
      <c r="H494">
        <v>-399.56451702741441</v>
      </c>
      <c r="I494">
        <f t="shared" si="7"/>
        <v>1</v>
      </c>
    </row>
    <row r="495" spans="7:9" x14ac:dyDescent="0.15">
      <c r="G495">
        <v>476</v>
      </c>
      <c r="H495">
        <v>113.92066615832137</v>
      </c>
      <c r="I495">
        <f t="shared" si="7"/>
        <v>0</v>
      </c>
    </row>
    <row r="496" spans="7:9" x14ac:dyDescent="0.15">
      <c r="G496">
        <v>477</v>
      </c>
      <c r="H496">
        <v>315.17669017357014</v>
      </c>
      <c r="I496">
        <f t="shared" si="7"/>
        <v>0</v>
      </c>
    </row>
    <row r="497" spans="7:9" x14ac:dyDescent="0.15">
      <c r="G497">
        <v>478</v>
      </c>
      <c r="H497">
        <v>139.72211168032612</v>
      </c>
      <c r="I497">
        <f t="shared" si="7"/>
        <v>0</v>
      </c>
    </row>
    <row r="498" spans="7:9" x14ac:dyDescent="0.15">
      <c r="G498">
        <v>479</v>
      </c>
      <c r="H498">
        <v>-123.81740308183259</v>
      </c>
      <c r="I498">
        <f t="shared" si="7"/>
        <v>1</v>
      </c>
    </row>
    <row r="499" spans="7:9" x14ac:dyDescent="0.15">
      <c r="G499">
        <v>480</v>
      </c>
      <c r="H499">
        <v>107.63501575381491</v>
      </c>
      <c r="I499">
        <f t="shared" si="7"/>
        <v>0</v>
      </c>
    </row>
    <row r="500" spans="7:9" x14ac:dyDescent="0.15">
      <c r="G500">
        <v>481</v>
      </c>
      <c r="H500">
        <v>586.63706871663192</v>
      </c>
      <c r="I500">
        <f t="shared" si="7"/>
        <v>0</v>
      </c>
    </row>
    <row r="501" spans="7:9" x14ac:dyDescent="0.15">
      <c r="G501">
        <v>482</v>
      </c>
      <c r="H501">
        <v>-185.89363376038938</v>
      </c>
      <c r="I501">
        <f t="shared" si="7"/>
        <v>1</v>
      </c>
    </row>
    <row r="502" spans="7:9" x14ac:dyDescent="0.15">
      <c r="G502">
        <v>483</v>
      </c>
      <c r="H502">
        <v>-176.38065745029431</v>
      </c>
      <c r="I502">
        <f t="shared" si="7"/>
        <v>1</v>
      </c>
    </row>
    <row r="503" spans="7:9" x14ac:dyDescent="0.15">
      <c r="G503">
        <v>484</v>
      </c>
      <c r="H503">
        <v>498.32816042887487</v>
      </c>
      <c r="I503">
        <f t="shared" si="7"/>
        <v>0</v>
      </c>
    </row>
    <row r="504" spans="7:9" x14ac:dyDescent="0.15">
      <c r="G504">
        <v>485</v>
      </c>
      <c r="H504">
        <v>10.066573881070362</v>
      </c>
      <c r="I504">
        <f t="shared" si="7"/>
        <v>0</v>
      </c>
    </row>
    <row r="505" spans="7:9" x14ac:dyDescent="0.15">
      <c r="G505">
        <v>486</v>
      </c>
      <c r="H505">
        <v>94.044352114486486</v>
      </c>
      <c r="I505">
        <f t="shared" si="7"/>
        <v>0</v>
      </c>
    </row>
    <row r="506" spans="7:9" x14ac:dyDescent="0.15">
      <c r="G506">
        <v>487</v>
      </c>
      <c r="H506">
        <v>16.205721592761314</v>
      </c>
      <c r="I506">
        <f t="shared" si="7"/>
        <v>0</v>
      </c>
    </row>
    <row r="507" spans="7:9" x14ac:dyDescent="0.15">
      <c r="G507">
        <v>488</v>
      </c>
      <c r="H507">
        <v>-53.155444887985141</v>
      </c>
      <c r="I507">
        <f t="shared" si="7"/>
        <v>1</v>
      </c>
    </row>
    <row r="508" spans="7:9" x14ac:dyDescent="0.15">
      <c r="G508">
        <v>489</v>
      </c>
      <c r="H508">
        <v>184.35225555726248</v>
      </c>
      <c r="I508">
        <f t="shared" si="7"/>
        <v>0</v>
      </c>
    </row>
    <row r="509" spans="7:9" x14ac:dyDescent="0.15">
      <c r="G509">
        <v>490</v>
      </c>
      <c r="H509">
        <v>-92.502933145784326</v>
      </c>
      <c r="I509">
        <f t="shared" si="7"/>
        <v>1</v>
      </c>
    </row>
    <row r="510" spans="7:9" x14ac:dyDescent="0.15">
      <c r="G510">
        <v>491</v>
      </c>
      <c r="H510">
        <v>-479.47327216237198</v>
      </c>
      <c r="I510">
        <f t="shared" si="7"/>
        <v>1</v>
      </c>
    </row>
    <row r="511" spans="7:9" x14ac:dyDescent="0.15">
      <c r="G511">
        <v>492</v>
      </c>
      <c r="H511">
        <v>255.39342454440077</v>
      </c>
      <c r="I511">
        <f t="shared" si="7"/>
        <v>0</v>
      </c>
    </row>
    <row r="512" spans="7:9" x14ac:dyDescent="0.15">
      <c r="G512">
        <v>493</v>
      </c>
      <c r="H512">
        <v>95.025622851461435</v>
      </c>
      <c r="I512">
        <f t="shared" si="7"/>
        <v>0</v>
      </c>
    </row>
    <row r="513" spans="7:9" x14ac:dyDescent="0.15">
      <c r="G513">
        <v>494</v>
      </c>
      <c r="H513">
        <v>-300.7034287339028</v>
      </c>
      <c r="I513">
        <f t="shared" si="7"/>
        <v>1</v>
      </c>
    </row>
    <row r="514" spans="7:9" x14ac:dyDescent="0.15">
      <c r="G514">
        <v>495</v>
      </c>
      <c r="H514">
        <v>703.76322820746736</v>
      </c>
      <c r="I514">
        <f t="shared" si="7"/>
        <v>0</v>
      </c>
    </row>
    <row r="515" spans="7:9" x14ac:dyDescent="0.15">
      <c r="G515">
        <v>496</v>
      </c>
      <c r="H515">
        <v>164.88292955590501</v>
      </c>
      <c r="I515">
        <f t="shared" si="7"/>
        <v>0</v>
      </c>
    </row>
    <row r="516" spans="7:9" x14ac:dyDescent="0.15">
      <c r="G516">
        <v>497</v>
      </c>
      <c r="H516">
        <v>-279.50695407498159</v>
      </c>
      <c r="I516">
        <f t="shared" si="7"/>
        <v>1</v>
      </c>
    </row>
    <row r="517" spans="7:9" x14ac:dyDescent="0.15">
      <c r="G517">
        <v>498</v>
      </c>
      <c r="H517">
        <v>-209.28943840258142</v>
      </c>
      <c r="I517">
        <f t="shared" si="7"/>
        <v>1</v>
      </c>
    </row>
    <row r="518" spans="7:9" x14ac:dyDescent="0.15">
      <c r="G518">
        <v>499</v>
      </c>
      <c r="H518">
        <v>64.259484183319884</v>
      </c>
      <c r="I518">
        <f t="shared" si="7"/>
        <v>0</v>
      </c>
    </row>
    <row r="519" spans="7:9" x14ac:dyDescent="0.15">
      <c r="G519">
        <v>500</v>
      </c>
      <c r="H519">
        <v>-176.11956836321838</v>
      </c>
      <c r="I519">
        <f t="shared" si="7"/>
        <v>1</v>
      </c>
    </row>
    <row r="520" spans="7:9" x14ac:dyDescent="0.15">
      <c r="G520">
        <v>501</v>
      </c>
      <c r="H520">
        <v>413.04649370191453</v>
      </c>
      <c r="I520">
        <f t="shared" si="7"/>
        <v>0</v>
      </c>
    </row>
    <row r="521" spans="7:9" x14ac:dyDescent="0.15">
      <c r="G521">
        <v>502</v>
      </c>
      <c r="H521">
        <v>-58.28699493164811</v>
      </c>
      <c r="I521">
        <f t="shared" si="7"/>
        <v>1</v>
      </c>
    </row>
    <row r="522" spans="7:9" x14ac:dyDescent="0.15">
      <c r="G522">
        <v>503</v>
      </c>
      <c r="H522">
        <v>304.06377234029441</v>
      </c>
      <c r="I522">
        <f t="shared" si="7"/>
        <v>0</v>
      </c>
    </row>
    <row r="523" spans="7:9" x14ac:dyDescent="0.15">
      <c r="G523">
        <v>504</v>
      </c>
      <c r="H523">
        <v>25.632037863406751</v>
      </c>
      <c r="I523">
        <f t="shared" si="7"/>
        <v>0</v>
      </c>
    </row>
    <row r="524" spans="7:9" x14ac:dyDescent="0.15">
      <c r="G524">
        <v>505</v>
      </c>
      <c r="H524">
        <v>4.9136824763880185</v>
      </c>
      <c r="I524">
        <f t="shared" si="7"/>
        <v>0</v>
      </c>
    </row>
    <row r="525" spans="7:9" x14ac:dyDescent="0.15">
      <c r="G525">
        <v>506</v>
      </c>
      <c r="H525">
        <v>-242.3089661101277</v>
      </c>
      <c r="I525">
        <f t="shared" si="7"/>
        <v>1</v>
      </c>
    </row>
    <row r="526" spans="7:9" x14ac:dyDescent="0.15">
      <c r="G526">
        <v>507</v>
      </c>
      <c r="H526">
        <v>-128.74847426408732</v>
      </c>
      <c r="I526">
        <f t="shared" si="7"/>
        <v>1</v>
      </c>
    </row>
    <row r="527" spans="7:9" x14ac:dyDescent="0.15">
      <c r="G527">
        <v>508</v>
      </c>
      <c r="H527">
        <v>-219.92679275250993</v>
      </c>
      <c r="I527">
        <f t="shared" si="7"/>
        <v>1</v>
      </c>
    </row>
    <row r="528" spans="7:9" x14ac:dyDescent="0.15">
      <c r="G528">
        <v>509</v>
      </c>
      <c r="H528">
        <v>701.06066013105283</v>
      </c>
      <c r="I528">
        <f t="shared" si="7"/>
        <v>0</v>
      </c>
    </row>
    <row r="529" spans="7:9" x14ac:dyDescent="0.15">
      <c r="G529">
        <v>510</v>
      </c>
      <c r="H529">
        <v>-30.776684863646096</v>
      </c>
      <c r="I529">
        <f t="shared" si="7"/>
        <v>1</v>
      </c>
    </row>
    <row r="530" spans="7:9" x14ac:dyDescent="0.15">
      <c r="G530">
        <v>511</v>
      </c>
      <c r="H530">
        <v>-166.44205351293789</v>
      </c>
      <c r="I530">
        <f t="shared" si="7"/>
        <v>1</v>
      </c>
    </row>
    <row r="531" spans="7:9" x14ac:dyDescent="0.15">
      <c r="G531">
        <v>512</v>
      </c>
      <c r="H531">
        <v>304.17528621489652</v>
      </c>
      <c r="I531">
        <f t="shared" si="7"/>
        <v>0</v>
      </c>
    </row>
    <row r="532" spans="7:9" x14ac:dyDescent="0.15">
      <c r="G532">
        <v>513</v>
      </c>
      <c r="H532">
        <v>-292.44996462934921</v>
      </c>
      <c r="I532">
        <f t="shared" si="7"/>
        <v>1</v>
      </c>
    </row>
    <row r="533" spans="7:9" x14ac:dyDescent="0.15">
      <c r="G533">
        <v>514</v>
      </c>
      <c r="H533">
        <v>197.96813509603925</v>
      </c>
      <c r="I533">
        <f t="shared" ref="I533:I596" si="8">IF(H533&lt;0,1,0)</f>
        <v>0</v>
      </c>
    </row>
    <row r="534" spans="7:9" x14ac:dyDescent="0.15">
      <c r="G534">
        <v>515</v>
      </c>
      <c r="H534">
        <v>89.399204911645356</v>
      </c>
      <c r="I534">
        <f t="shared" si="8"/>
        <v>0</v>
      </c>
    </row>
    <row r="535" spans="7:9" x14ac:dyDescent="0.15">
      <c r="G535">
        <v>516</v>
      </c>
      <c r="H535">
        <v>430.52276579577205</v>
      </c>
      <c r="I535">
        <f t="shared" si="8"/>
        <v>0</v>
      </c>
    </row>
    <row r="536" spans="7:9" x14ac:dyDescent="0.15">
      <c r="G536">
        <v>517</v>
      </c>
      <c r="H536">
        <v>-89.017641614497521</v>
      </c>
      <c r="I536">
        <f t="shared" si="8"/>
        <v>1</v>
      </c>
    </row>
    <row r="537" spans="7:9" x14ac:dyDescent="0.15">
      <c r="G537">
        <v>518</v>
      </c>
      <c r="H537">
        <v>153.36817436220863</v>
      </c>
      <c r="I537">
        <f t="shared" si="8"/>
        <v>0</v>
      </c>
    </row>
    <row r="538" spans="7:9" x14ac:dyDescent="0.15">
      <c r="G538">
        <v>519</v>
      </c>
      <c r="H538">
        <v>186.33548110048656</v>
      </c>
      <c r="I538">
        <f t="shared" si="8"/>
        <v>0</v>
      </c>
    </row>
    <row r="539" spans="7:9" x14ac:dyDescent="0.15">
      <c r="G539">
        <v>520</v>
      </c>
      <c r="H539">
        <v>402.98160605482923</v>
      </c>
      <c r="I539">
        <f t="shared" si="8"/>
        <v>0</v>
      </c>
    </row>
    <row r="540" spans="7:9" x14ac:dyDescent="0.15">
      <c r="G540">
        <v>521</v>
      </c>
      <c r="H540">
        <v>70.285237085373353</v>
      </c>
      <c r="I540">
        <f t="shared" si="8"/>
        <v>0</v>
      </c>
    </row>
    <row r="541" spans="7:9" x14ac:dyDescent="0.15">
      <c r="G541">
        <v>522</v>
      </c>
      <c r="H541">
        <v>196.6705324506417</v>
      </c>
      <c r="I541">
        <f t="shared" si="8"/>
        <v>0</v>
      </c>
    </row>
    <row r="542" spans="7:9" x14ac:dyDescent="0.15">
      <c r="G542">
        <v>523</v>
      </c>
      <c r="H542">
        <v>97.753503837341128</v>
      </c>
      <c r="I542">
        <f t="shared" si="8"/>
        <v>0</v>
      </c>
    </row>
    <row r="543" spans="7:9" x14ac:dyDescent="0.15">
      <c r="G543">
        <v>524</v>
      </c>
      <c r="H543">
        <v>418.47098588200754</v>
      </c>
      <c r="I543">
        <f t="shared" si="8"/>
        <v>0</v>
      </c>
    </row>
    <row r="544" spans="7:9" x14ac:dyDescent="0.15">
      <c r="G544">
        <v>525</v>
      </c>
      <c r="H544">
        <v>207.89437320407862</v>
      </c>
      <c r="I544">
        <f t="shared" si="8"/>
        <v>0</v>
      </c>
    </row>
    <row r="545" spans="7:9" x14ac:dyDescent="0.15">
      <c r="G545">
        <v>526</v>
      </c>
      <c r="H545">
        <v>-240.67341048114827</v>
      </c>
      <c r="I545">
        <f t="shared" si="8"/>
        <v>1</v>
      </c>
    </row>
    <row r="546" spans="7:9" x14ac:dyDescent="0.15">
      <c r="G546">
        <v>527</v>
      </c>
      <c r="H546">
        <v>-55.823446660812863</v>
      </c>
      <c r="I546">
        <f t="shared" si="8"/>
        <v>1</v>
      </c>
    </row>
    <row r="547" spans="7:9" x14ac:dyDescent="0.15">
      <c r="G547">
        <v>528</v>
      </c>
      <c r="H547">
        <v>51.23777775202754</v>
      </c>
      <c r="I547">
        <f t="shared" si="8"/>
        <v>0</v>
      </c>
    </row>
    <row r="548" spans="7:9" x14ac:dyDescent="0.15">
      <c r="G548">
        <v>529</v>
      </c>
      <c r="H548">
        <v>89.725709760362918</v>
      </c>
      <c r="I548">
        <f t="shared" si="8"/>
        <v>0</v>
      </c>
    </row>
    <row r="549" spans="7:9" x14ac:dyDescent="0.15">
      <c r="G549">
        <v>530</v>
      </c>
      <c r="H549">
        <v>100.1384886684362</v>
      </c>
      <c r="I549">
        <f t="shared" si="8"/>
        <v>0</v>
      </c>
    </row>
    <row r="550" spans="7:9" x14ac:dyDescent="0.15">
      <c r="G550">
        <v>531</v>
      </c>
      <c r="H550">
        <v>61.24913785305769</v>
      </c>
      <c r="I550">
        <f t="shared" si="8"/>
        <v>0</v>
      </c>
    </row>
    <row r="551" spans="7:9" x14ac:dyDescent="0.15">
      <c r="G551">
        <v>532</v>
      </c>
      <c r="H551">
        <v>407.09271761176797</v>
      </c>
      <c r="I551">
        <f t="shared" si="8"/>
        <v>0</v>
      </c>
    </row>
    <row r="552" spans="7:9" x14ac:dyDescent="0.15">
      <c r="G552">
        <v>533</v>
      </c>
      <c r="H552">
        <v>291.71804230003625</v>
      </c>
      <c r="I552">
        <f t="shared" si="8"/>
        <v>0</v>
      </c>
    </row>
    <row r="553" spans="7:9" x14ac:dyDescent="0.15">
      <c r="G553">
        <v>534</v>
      </c>
      <c r="H553">
        <v>-285.78533017225067</v>
      </c>
      <c r="I553">
        <f t="shared" si="8"/>
        <v>1</v>
      </c>
    </row>
    <row r="554" spans="7:9" x14ac:dyDescent="0.15">
      <c r="G554">
        <v>535</v>
      </c>
      <c r="H554">
        <v>-100.15863075634202</v>
      </c>
      <c r="I554">
        <f t="shared" si="8"/>
        <v>1</v>
      </c>
    </row>
    <row r="555" spans="7:9" x14ac:dyDescent="0.15">
      <c r="G555">
        <v>536</v>
      </c>
      <c r="H555">
        <v>5.8099566357713712</v>
      </c>
      <c r="I555">
        <f t="shared" si="8"/>
        <v>0</v>
      </c>
    </row>
    <row r="556" spans="7:9" x14ac:dyDescent="0.15">
      <c r="G556">
        <v>537</v>
      </c>
      <c r="H556">
        <v>264.01840749951185</v>
      </c>
      <c r="I556">
        <f t="shared" si="8"/>
        <v>0</v>
      </c>
    </row>
    <row r="557" spans="7:9" x14ac:dyDescent="0.15">
      <c r="G557">
        <v>538</v>
      </c>
      <c r="H557">
        <v>-371.52118913133233</v>
      </c>
      <c r="I557">
        <f t="shared" si="8"/>
        <v>1</v>
      </c>
    </row>
    <row r="558" spans="7:9" x14ac:dyDescent="0.15">
      <c r="G558">
        <v>539</v>
      </c>
      <c r="H558">
        <v>135.33494739731873</v>
      </c>
      <c r="I558">
        <f t="shared" si="8"/>
        <v>0</v>
      </c>
    </row>
    <row r="559" spans="7:9" x14ac:dyDescent="0.15">
      <c r="G559">
        <v>540</v>
      </c>
      <c r="H559">
        <v>701.57516225656934</v>
      </c>
      <c r="I559">
        <f t="shared" si="8"/>
        <v>0</v>
      </c>
    </row>
    <row r="560" spans="7:9" x14ac:dyDescent="0.15">
      <c r="G560">
        <v>541</v>
      </c>
      <c r="H560">
        <v>-208.1848600836922</v>
      </c>
      <c r="I560">
        <f t="shared" si="8"/>
        <v>1</v>
      </c>
    </row>
    <row r="561" spans="7:9" x14ac:dyDescent="0.15">
      <c r="G561">
        <v>542</v>
      </c>
      <c r="H561">
        <v>-154.55390455272163</v>
      </c>
      <c r="I561">
        <f t="shared" si="8"/>
        <v>1</v>
      </c>
    </row>
    <row r="562" spans="7:9" x14ac:dyDescent="0.15">
      <c r="G562">
        <v>543</v>
      </c>
      <c r="H562">
        <v>85.81059974385937</v>
      </c>
      <c r="I562">
        <f t="shared" si="8"/>
        <v>0</v>
      </c>
    </row>
    <row r="563" spans="7:9" x14ac:dyDescent="0.15">
      <c r="G563">
        <v>544</v>
      </c>
      <c r="H563">
        <v>474.47966321655639</v>
      </c>
      <c r="I563">
        <f t="shared" si="8"/>
        <v>0</v>
      </c>
    </row>
    <row r="564" spans="7:9" x14ac:dyDescent="0.15">
      <c r="G564">
        <v>545</v>
      </c>
      <c r="H564">
        <v>-63.705371537725085</v>
      </c>
      <c r="I564">
        <f t="shared" si="8"/>
        <v>1</v>
      </c>
    </row>
    <row r="565" spans="7:9" x14ac:dyDescent="0.15">
      <c r="G565">
        <v>546</v>
      </c>
      <c r="H565">
        <v>8.7670420295684082</v>
      </c>
      <c r="I565">
        <f t="shared" si="8"/>
        <v>0</v>
      </c>
    </row>
    <row r="566" spans="7:9" x14ac:dyDescent="0.15">
      <c r="G566">
        <v>547</v>
      </c>
      <c r="H566">
        <v>344.70752851419979</v>
      </c>
      <c r="I566">
        <f t="shared" si="8"/>
        <v>0</v>
      </c>
    </row>
    <row r="567" spans="7:9" x14ac:dyDescent="0.15">
      <c r="G567">
        <v>548</v>
      </c>
      <c r="H567">
        <v>206.25344656827519</v>
      </c>
      <c r="I567">
        <f t="shared" si="8"/>
        <v>0</v>
      </c>
    </row>
    <row r="568" spans="7:9" x14ac:dyDescent="0.15">
      <c r="G568">
        <v>549</v>
      </c>
      <c r="H568">
        <v>-453.37489534997968</v>
      </c>
      <c r="I568">
        <f t="shared" si="8"/>
        <v>1</v>
      </c>
    </row>
    <row r="569" spans="7:9" x14ac:dyDescent="0.15">
      <c r="G569">
        <v>550</v>
      </c>
      <c r="H569">
        <v>124.59780888692754</v>
      </c>
      <c r="I569">
        <f t="shared" si="8"/>
        <v>0</v>
      </c>
    </row>
    <row r="570" spans="7:9" x14ac:dyDescent="0.15">
      <c r="G570">
        <v>551</v>
      </c>
      <c r="H570">
        <v>133.13975163370273</v>
      </c>
      <c r="I570">
        <f t="shared" si="8"/>
        <v>0</v>
      </c>
    </row>
    <row r="571" spans="7:9" x14ac:dyDescent="0.15">
      <c r="G571">
        <v>552</v>
      </c>
      <c r="H571">
        <v>-409.98000218543604</v>
      </c>
      <c r="I571">
        <f t="shared" si="8"/>
        <v>1</v>
      </c>
    </row>
    <row r="572" spans="7:9" x14ac:dyDescent="0.15">
      <c r="G572">
        <v>553</v>
      </c>
      <c r="H572">
        <v>459.9927747842849</v>
      </c>
      <c r="I572">
        <f t="shared" si="8"/>
        <v>0</v>
      </c>
    </row>
    <row r="573" spans="7:9" x14ac:dyDescent="0.15">
      <c r="G573">
        <v>554</v>
      </c>
      <c r="H573">
        <v>-208.56755915991707</v>
      </c>
      <c r="I573">
        <f t="shared" si="8"/>
        <v>1</v>
      </c>
    </row>
    <row r="574" spans="7:9" x14ac:dyDescent="0.15">
      <c r="G574">
        <v>555</v>
      </c>
      <c r="H574">
        <v>105.07175117641141</v>
      </c>
      <c r="I574">
        <f t="shared" si="8"/>
        <v>0</v>
      </c>
    </row>
    <row r="575" spans="7:9" x14ac:dyDescent="0.15">
      <c r="G575">
        <v>556</v>
      </c>
      <c r="H575">
        <v>133.90100930505213</v>
      </c>
      <c r="I575">
        <f t="shared" si="8"/>
        <v>0</v>
      </c>
    </row>
    <row r="576" spans="7:9" x14ac:dyDescent="0.15">
      <c r="G576">
        <v>557</v>
      </c>
      <c r="H576">
        <v>-196.40386770007649</v>
      </c>
      <c r="I576">
        <f t="shared" si="8"/>
        <v>1</v>
      </c>
    </row>
    <row r="577" spans="7:9" x14ac:dyDescent="0.15">
      <c r="G577">
        <v>558</v>
      </c>
      <c r="H577">
        <v>220.87552886202803</v>
      </c>
      <c r="I577">
        <f t="shared" si="8"/>
        <v>0</v>
      </c>
    </row>
    <row r="578" spans="7:9" x14ac:dyDescent="0.15">
      <c r="G578">
        <v>559</v>
      </c>
      <c r="H578">
        <v>340.35574531126855</v>
      </c>
      <c r="I578">
        <f t="shared" si="8"/>
        <v>0</v>
      </c>
    </row>
    <row r="579" spans="7:9" x14ac:dyDescent="0.15">
      <c r="G579">
        <v>560</v>
      </c>
      <c r="H579">
        <v>-69.806431946231939</v>
      </c>
      <c r="I579">
        <f t="shared" si="8"/>
        <v>1</v>
      </c>
    </row>
    <row r="580" spans="7:9" x14ac:dyDescent="0.15">
      <c r="G580">
        <v>561</v>
      </c>
      <c r="H580">
        <v>54.325102721182489</v>
      </c>
      <c r="I580">
        <f t="shared" si="8"/>
        <v>0</v>
      </c>
    </row>
    <row r="581" spans="7:9" x14ac:dyDescent="0.15">
      <c r="G581">
        <v>562</v>
      </c>
      <c r="H581">
        <v>67.59552180544334</v>
      </c>
      <c r="I581">
        <f t="shared" si="8"/>
        <v>0</v>
      </c>
    </row>
    <row r="582" spans="7:9" x14ac:dyDescent="0.15">
      <c r="G582">
        <v>563</v>
      </c>
      <c r="H582">
        <v>-149.93549881948735</v>
      </c>
      <c r="I582">
        <f t="shared" si="8"/>
        <v>1</v>
      </c>
    </row>
    <row r="583" spans="7:9" x14ac:dyDescent="0.15">
      <c r="G583">
        <v>564</v>
      </c>
      <c r="H583">
        <v>305.14517848330621</v>
      </c>
      <c r="I583">
        <f t="shared" si="8"/>
        <v>0</v>
      </c>
    </row>
    <row r="584" spans="7:9" x14ac:dyDescent="0.15">
      <c r="G584">
        <v>565</v>
      </c>
      <c r="H584">
        <v>113.24238920629095</v>
      </c>
      <c r="I584">
        <f t="shared" si="8"/>
        <v>0</v>
      </c>
    </row>
    <row r="585" spans="7:9" x14ac:dyDescent="0.15">
      <c r="G585">
        <v>566</v>
      </c>
      <c r="H585">
        <v>-203.10772029626685</v>
      </c>
      <c r="I585">
        <f t="shared" si="8"/>
        <v>1</v>
      </c>
    </row>
    <row r="586" spans="7:9" x14ac:dyDescent="0.15">
      <c r="G586">
        <v>567</v>
      </c>
      <c r="H586">
        <v>-80.457445676863017</v>
      </c>
      <c r="I586">
        <f t="shared" si="8"/>
        <v>1</v>
      </c>
    </row>
    <row r="587" spans="7:9" x14ac:dyDescent="0.15">
      <c r="G587">
        <v>568</v>
      </c>
      <c r="H587">
        <v>-251.43464711233048</v>
      </c>
      <c r="I587">
        <f t="shared" si="8"/>
        <v>1</v>
      </c>
    </row>
    <row r="588" spans="7:9" x14ac:dyDescent="0.15">
      <c r="G588">
        <v>569</v>
      </c>
      <c r="H588">
        <v>297.88324701623111</v>
      </c>
      <c r="I588">
        <f t="shared" si="8"/>
        <v>0</v>
      </c>
    </row>
    <row r="589" spans="7:9" x14ac:dyDescent="0.15">
      <c r="G589">
        <v>570</v>
      </c>
      <c r="H589">
        <v>-208.29078999293728</v>
      </c>
      <c r="I589">
        <f t="shared" si="8"/>
        <v>1</v>
      </c>
    </row>
    <row r="590" spans="7:9" x14ac:dyDescent="0.15">
      <c r="G590">
        <v>571</v>
      </c>
      <c r="H590">
        <v>-35.70738897542045</v>
      </c>
      <c r="I590">
        <f t="shared" si="8"/>
        <v>1</v>
      </c>
    </row>
    <row r="591" spans="7:9" x14ac:dyDescent="0.15">
      <c r="G591">
        <v>572</v>
      </c>
      <c r="H591">
        <v>-37.473301901265074</v>
      </c>
      <c r="I591">
        <f t="shared" si="8"/>
        <v>1</v>
      </c>
    </row>
    <row r="592" spans="7:9" x14ac:dyDescent="0.15">
      <c r="G592">
        <v>573</v>
      </c>
      <c r="H592">
        <v>-199.07957623265693</v>
      </c>
      <c r="I592">
        <f t="shared" si="8"/>
        <v>1</v>
      </c>
    </row>
    <row r="593" spans="7:9" x14ac:dyDescent="0.15">
      <c r="G593">
        <v>574</v>
      </c>
      <c r="H593">
        <v>-133.97449615073191</v>
      </c>
      <c r="I593">
        <f t="shared" si="8"/>
        <v>1</v>
      </c>
    </row>
    <row r="594" spans="7:9" x14ac:dyDescent="0.15">
      <c r="G594">
        <v>575</v>
      </c>
      <c r="H594">
        <v>-203.64992534974067</v>
      </c>
      <c r="I594">
        <f t="shared" si="8"/>
        <v>1</v>
      </c>
    </row>
    <row r="595" spans="7:9" x14ac:dyDescent="0.15">
      <c r="G595">
        <v>576</v>
      </c>
      <c r="H595">
        <v>165.19396830974452</v>
      </c>
      <c r="I595">
        <f t="shared" si="8"/>
        <v>0</v>
      </c>
    </row>
    <row r="596" spans="7:9" x14ac:dyDescent="0.15">
      <c r="G596">
        <v>577</v>
      </c>
      <c r="H596">
        <v>-65.350904881580135</v>
      </c>
      <c r="I596">
        <f t="shared" si="8"/>
        <v>1</v>
      </c>
    </row>
    <row r="597" spans="7:9" x14ac:dyDescent="0.15">
      <c r="G597">
        <v>578</v>
      </c>
      <c r="H597">
        <v>-142.40846813155324</v>
      </c>
      <c r="I597">
        <f t="shared" ref="I597:I660" si="9">IF(H597&lt;0,1,0)</f>
        <v>1</v>
      </c>
    </row>
    <row r="598" spans="7:9" x14ac:dyDescent="0.15">
      <c r="G598">
        <v>579</v>
      </c>
      <c r="H598">
        <v>373.07948558721699</v>
      </c>
      <c r="I598">
        <f t="shared" si="9"/>
        <v>0</v>
      </c>
    </row>
    <row r="599" spans="7:9" x14ac:dyDescent="0.15">
      <c r="G599">
        <v>580</v>
      </c>
      <c r="H599">
        <v>188.14771058675311</v>
      </c>
      <c r="I599">
        <f t="shared" si="9"/>
        <v>0</v>
      </c>
    </row>
    <row r="600" spans="7:9" x14ac:dyDescent="0.15">
      <c r="G600">
        <v>581</v>
      </c>
      <c r="H600">
        <v>193.54927253655262</v>
      </c>
      <c r="I600">
        <f t="shared" si="9"/>
        <v>0</v>
      </c>
    </row>
    <row r="601" spans="7:9" x14ac:dyDescent="0.15">
      <c r="G601">
        <v>582</v>
      </c>
      <c r="H601">
        <v>-192.85919898895625</v>
      </c>
      <c r="I601">
        <f t="shared" si="9"/>
        <v>1</v>
      </c>
    </row>
    <row r="602" spans="7:9" x14ac:dyDescent="0.15">
      <c r="G602">
        <v>583</v>
      </c>
      <c r="H602">
        <v>-160.3139820071867</v>
      </c>
      <c r="I602">
        <f t="shared" si="9"/>
        <v>1</v>
      </c>
    </row>
    <row r="603" spans="7:9" x14ac:dyDescent="0.15">
      <c r="G603">
        <v>584</v>
      </c>
      <c r="H603">
        <v>77.228487072057561</v>
      </c>
      <c r="I603">
        <f t="shared" si="9"/>
        <v>0</v>
      </c>
    </row>
    <row r="604" spans="7:9" x14ac:dyDescent="0.15">
      <c r="G604">
        <v>585</v>
      </c>
      <c r="H604">
        <v>311.1330801575433</v>
      </c>
      <c r="I604">
        <f t="shared" si="9"/>
        <v>0</v>
      </c>
    </row>
    <row r="605" spans="7:9" x14ac:dyDescent="0.15">
      <c r="G605">
        <v>586</v>
      </c>
      <c r="H605">
        <v>234.17821314267496</v>
      </c>
      <c r="I605">
        <f t="shared" si="9"/>
        <v>0</v>
      </c>
    </row>
    <row r="606" spans="7:9" x14ac:dyDescent="0.15">
      <c r="G606">
        <v>587</v>
      </c>
      <c r="H606">
        <v>67.723226880437011</v>
      </c>
      <c r="I606">
        <f t="shared" si="9"/>
        <v>0</v>
      </c>
    </row>
    <row r="607" spans="7:9" x14ac:dyDescent="0.15">
      <c r="G607">
        <v>588</v>
      </c>
      <c r="H607">
        <v>519.17562549481181</v>
      </c>
      <c r="I607">
        <f t="shared" si="9"/>
        <v>0</v>
      </c>
    </row>
    <row r="608" spans="7:9" x14ac:dyDescent="0.15">
      <c r="G608">
        <v>589</v>
      </c>
      <c r="H608">
        <v>52.801330010655754</v>
      </c>
      <c r="I608">
        <f t="shared" si="9"/>
        <v>0</v>
      </c>
    </row>
    <row r="609" spans="7:9" x14ac:dyDescent="0.15">
      <c r="G609">
        <v>590</v>
      </c>
      <c r="H609">
        <v>83.342140459308979</v>
      </c>
      <c r="I609">
        <f t="shared" si="9"/>
        <v>0</v>
      </c>
    </row>
    <row r="610" spans="7:9" x14ac:dyDescent="0.15">
      <c r="G610">
        <v>591</v>
      </c>
      <c r="H610">
        <v>633.32054186064124</v>
      </c>
      <c r="I610">
        <f t="shared" si="9"/>
        <v>0</v>
      </c>
    </row>
    <row r="611" spans="7:9" x14ac:dyDescent="0.15">
      <c r="G611">
        <v>592</v>
      </c>
      <c r="H611">
        <v>91.032535348239008</v>
      </c>
      <c r="I611">
        <f t="shared" si="9"/>
        <v>0</v>
      </c>
    </row>
    <row r="612" spans="7:9" x14ac:dyDescent="0.15">
      <c r="G612">
        <v>593</v>
      </c>
      <c r="H612">
        <v>366.7537536935136</v>
      </c>
      <c r="I612">
        <f t="shared" si="9"/>
        <v>0</v>
      </c>
    </row>
    <row r="613" spans="7:9" x14ac:dyDescent="0.15">
      <c r="G613">
        <v>594</v>
      </c>
      <c r="H613">
        <v>-132.52574481963961</v>
      </c>
      <c r="I613">
        <f t="shared" si="9"/>
        <v>1</v>
      </c>
    </row>
    <row r="614" spans="7:9" x14ac:dyDescent="0.15">
      <c r="G614">
        <v>595</v>
      </c>
      <c r="H614">
        <v>516.9265850613217</v>
      </c>
      <c r="I614">
        <f t="shared" si="9"/>
        <v>0</v>
      </c>
    </row>
    <row r="615" spans="7:9" x14ac:dyDescent="0.15">
      <c r="G615">
        <v>596</v>
      </c>
      <c r="H615">
        <v>19.737416198419773</v>
      </c>
      <c r="I615">
        <f t="shared" si="9"/>
        <v>0</v>
      </c>
    </row>
    <row r="616" spans="7:9" x14ac:dyDescent="0.15">
      <c r="G616">
        <v>597</v>
      </c>
      <c r="H616">
        <v>33.790827381045048</v>
      </c>
      <c r="I616">
        <f t="shared" si="9"/>
        <v>0</v>
      </c>
    </row>
    <row r="617" spans="7:9" x14ac:dyDescent="0.15">
      <c r="G617">
        <v>598</v>
      </c>
      <c r="H617">
        <v>64.141786368733975</v>
      </c>
      <c r="I617">
        <f t="shared" si="9"/>
        <v>0</v>
      </c>
    </row>
    <row r="618" spans="7:9" x14ac:dyDescent="0.15">
      <c r="G618">
        <v>599</v>
      </c>
      <c r="H618">
        <v>156.17031441604337</v>
      </c>
      <c r="I618">
        <f t="shared" si="9"/>
        <v>0</v>
      </c>
    </row>
    <row r="619" spans="7:9" x14ac:dyDescent="0.15">
      <c r="G619">
        <v>600</v>
      </c>
      <c r="H619">
        <v>-28.443967100991372</v>
      </c>
      <c r="I619">
        <f t="shared" si="9"/>
        <v>1</v>
      </c>
    </row>
    <row r="620" spans="7:9" x14ac:dyDescent="0.15">
      <c r="G620">
        <v>601</v>
      </c>
      <c r="H620">
        <v>-247.86476204964055</v>
      </c>
      <c r="I620">
        <f t="shared" si="9"/>
        <v>1</v>
      </c>
    </row>
    <row r="621" spans="7:9" x14ac:dyDescent="0.15">
      <c r="G621">
        <v>602</v>
      </c>
      <c r="H621">
        <v>358.43704690803838</v>
      </c>
      <c r="I621">
        <f t="shared" si="9"/>
        <v>0</v>
      </c>
    </row>
    <row r="622" spans="7:9" x14ac:dyDescent="0.15">
      <c r="G622">
        <v>603</v>
      </c>
      <c r="H622">
        <v>-56.871611927891692</v>
      </c>
      <c r="I622">
        <f t="shared" si="9"/>
        <v>1</v>
      </c>
    </row>
    <row r="623" spans="7:9" x14ac:dyDescent="0.15">
      <c r="G623">
        <v>604</v>
      </c>
      <c r="H623">
        <v>-61.695651510632203</v>
      </c>
      <c r="I623">
        <f t="shared" si="9"/>
        <v>1</v>
      </c>
    </row>
    <row r="624" spans="7:9" x14ac:dyDescent="0.15">
      <c r="G624">
        <v>605</v>
      </c>
      <c r="H624">
        <v>-140.69275213756347</v>
      </c>
      <c r="I624">
        <f t="shared" si="9"/>
        <v>1</v>
      </c>
    </row>
    <row r="625" spans="7:9" x14ac:dyDescent="0.15">
      <c r="G625">
        <v>606</v>
      </c>
      <c r="H625">
        <v>-348.46992544733968</v>
      </c>
      <c r="I625">
        <f t="shared" si="9"/>
        <v>1</v>
      </c>
    </row>
    <row r="626" spans="7:9" x14ac:dyDescent="0.15">
      <c r="G626">
        <v>607</v>
      </c>
      <c r="H626">
        <v>-17.82506930411261</v>
      </c>
      <c r="I626">
        <f t="shared" si="9"/>
        <v>1</v>
      </c>
    </row>
    <row r="627" spans="7:9" x14ac:dyDescent="0.15">
      <c r="G627">
        <v>608</v>
      </c>
      <c r="H627">
        <v>611.22221285459739</v>
      </c>
      <c r="I627">
        <f t="shared" si="9"/>
        <v>0</v>
      </c>
    </row>
    <row r="628" spans="7:9" x14ac:dyDescent="0.15">
      <c r="G628">
        <v>609</v>
      </c>
      <c r="H628">
        <v>253.47930294937782</v>
      </c>
      <c r="I628">
        <f t="shared" si="9"/>
        <v>0</v>
      </c>
    </row>
    <row r="629" spans="7:9" x14ac:dyDescent="0.15">
      <c r="G629">
        <v>610</v>
      </c>
      <c r="H629">
        <v>207.37246747929504</v>
      </c>
      <c r="I629">
        <f t="shared" si="9"/>
        <v>0</v>
      </c>
    </row>
    <row r="630" spans="7:9" x14ac:dyDescent="0.15">
      <c r="G630">
        <v>611</v>
      </c>
      <c r="H630">
        <v>-42.365273000730618</v>
      </c>
      <c r="I630">
        <f t="shared" si="9"/>
        <v>1</v>
      </c>
    </row>
    <row r="631" spans="7:9" x14ac:dyDescent="0.15">
      <c r="G631">
        <v>612</v>
      </c>
      <c r="H631">
        <v>-2.8301818798578751</v>
      </c>
      <c r="I631">
        <f t="shared" si="9"/>
        <v>1</v>
      </c>
    </row>
    <row r="632" spans="7:9" x14ac:dyDescent="0.15">
      <c r="G632">
        <v>613</v>
      </c>
      <c r="H632">
        <v>-19.392649900998435</v>
      </c>
      <c r="I632">
        <f t="shared" si="9"/>
        <v>1</v>
      </c>
    </row>
    <row r="633" spans="7:9" x14ac:dyDescent="0.15">
      <c r="G633">
        <v>614</v>
      </c>
      <c r="H633">
        <v>274.43145364808322</v>
      </c>
      <c r="I633">
        <f t="shared" si="9"/>
        <v>0</v>
      </c>
    </row>
    <row r="634" spans="7:9" x14ac:dyDescent="0.15">
      <c r="G634">
        <v>615</v>
      </c>
      <c r="H634">
        <v>-266.70892717271994</v>
      </c>
      <c r="I634">
        <f t="shared" si="9"/>
        <v>1</v>
      </c>
    </row>
    <row r="635" spans="7:9" x14ac:dyDescent="0.15">
      <c r="G635">
        <v>616</v>
      </c>
      <c r="H635">
        <v>-287.58600997070926</v>
      </c>
      <c r="I635">
        <f t="shared" si="9"/>
        <v>1</v>
      </c>
    </row>
    <row r="636" spans="7:9" x14ac:dyDescent="0.15">
      <c r="G636">
        <v>617</v>
      </c>
      <c r="H636">
        <v>-49.110248981610354</v>
      </c>
      <c r="I636">
        <f t="shared" si="9"/>
        <v>1</v>
      </c>
    </row>
    <row r="637" spans="7:9" x14ac:dyDescent="0.15">
      <c r="G637">
        <v>618</v>
      </c>
      <c r="H637">
        <v>-35.781151784436148</v>
      </c>
      <c r="I637">
        <f t="shared" si="9"/>
        <v>1</v>
      </c>
    </row>
    <row r="638" spans="7:9" x14ac:dyDescent="0.15">
      <c r="G638">
        <v>619</v>
      </c>
      <c r="H638">
        <v>-95.690365046977774</v>
      </c>
      <c r="I638">
        <f t="shared" si="9"/>
        <v>1</v>
      </c>
    </row>
    <row r="639" spans="7:9" x14ac:dyDescent="0.15">
      <c r="G639">
        <v>620</v>
      </c>
      <c r="H639">
        <v>55.909682970431604</v>
      </c>
      <c r="I639">
        <f t="shared" si="9"/>
        <v>0</v>
      </c>
    </row>
    <row r="640" spans="7:9" x14ac:dyDescent="0.15">
      <c r="G640">
        <v>621</v>
      </c>
      <c r="H640">
        <v>-115.80864592591675</v>
      </c>
      <c r="I640">
        <f t="shared" si="9"/>
        <v>1</v>
      </c>
    </row>
    <row r="641" spans="7:9" x14ac:dyDescent="0.15">
      <c r="G641">
        <v>622</v>
      </c>
      <c r="H641">
        <v>277.18636088533441</v>
      </c>
      <c r="I641">
        <f t="shared" si="9"/>
        <v>0</v>
      </c>
    </row>
    <row r="642" spans="7:9" x14ac:dyDescent="0.15">
      <c r="G642">
        <v>623</v>
      </c>
      <c r="H642">
        <v>-127.94903327122761</v>
      </c>
      <c r="I642">
        <f t="shared" si="9"/>
        <v>1</v>
      </c>
    </row>
    <row r="643" spans="7:9" x14ac:dyDescent="0.15">
      <c r="G643">
        <v>624</v>
      </c>
      <c r="H643">
        <v>23.01742619205092</v>
      </c>
      <c r="I643">
        <f t="shared" si="9"/>
        <v>0</v>
      </c>
    </row>
    <row r="644" spans="7:9" x14ac:dyDescent="0.15">
      <c r="G644">
        <v>625</v>
      </c>
      <c r="H644">
        <v>255.70525581736999</v>
      </c>
      <c r="I644">
        <f t="shared" si="9"/>
        <v>0</v>
      </c>
    </row>
    <row r="645" spans="7:9" x14ac:dyDescent="0.15">
      <c r="G645">
        <v>626</v>
      </c>
      <c r="H645">
        <v>-197.4207400017184</v>
      </c>
      <c r="I645">
        <f t="shared" si="9"/>
        <v>1</v>
      </c>
    </row>
    <row r="646" spans="7:9" x14ac:dyDescent="0.15">
      <c r="G646">
        <v>627</v>
      </c>
      <c r="H646">
        <v>-25.283168533364105</v>
      </c>
      <c r="I646">
        <f t="shared" si="9"/>
        <v>1</v>
      </c>
    </row>
    <row r="647" spans="7:9" x14ac:dyDescent="0.15">
      <c r="G647">
        <v>628</v>
      </c>
      <c r="H647">
        <v>-19.8331282373953</v>
      </c>
      <c r="I647">
        <f t="shared" si="9"/>
        <v>1</v>
      </c>
    </row>
    <row r="648" spans="7:9" x14ac:dyDescent="0.15">
      <c r="G648">
        <v>629</v>
      </c>
      <c r="H648">
        <v>12.633142397733067</v>
      </c>
      <c r="I648">
        <f t="shared" si="9"/>
        <v>0</v>
      </c>
    </row>
    <row r="649" spans="7:9" x14ac:dyDescent="0.15">
      <c r="G649">
        <v>630</v>
      </c>
      <c r="H649">
        <v>241.24477204581774</v>
      </c>
      <c r="I649">
        <f t="shared" si="9"/>
        <v>0</v>
      </c>
    </row>
    <row r="650" spans="7:9" x14ac:dyDescent="0.15">
      <c r="G650">
        <v>631</v>
      </c>
      <c r="H650">
        <v>-430.05487083449526</v>
      </c>
      <c r="I650">
        <f t="shared" si="9"/>
        <v>1</v>
      </c>
    </row>
    <row r="651" spans="7:9" x14ac:dyDescent="0.15">
      <c r="G651">
        <v>632</v>
      </c>
      <c r="H651">
        <v>916.12146249068053</v>
      </c>
      <c r="I651">
        <f t="shared" si="9"/>
        <v>0</v>
      </c>
    </row>
    <row r="652" spans="7:9" x14ac:dyDescent="0.15">
      <c r="G652">
        <v>633</v>
      </c>
      <c r="H652">
        <v>23.016027793545106</v>
      </c>
      <c r="I652">
        <f t="shared" si="9"/>
        <v>0</v>
      </c>
    </row>
    <row r="653" spans="7:9" x14ac:dyDescent="0.15">
      <c r="G653">
        <v>634</v>
      </c>
      <c r="H653">
        <v>185.72967521773359</v>
      </c>
      <c r="I653">
        <f t="shared" si="9"/>
        <v>0</v>
      </c>
    </row>
    <row r="654" spans="7:9" x14ac:dyDescent="0.15">
      <c r="G654">
        <v>635</v>
      </c>
      <c r="H654">
        <v>206.98614537640367</v>
      </c>
      <c r="I654">
        <f t="shared" si="9"/>
        <v>0</v>
      </c>
    </row>
    <row r="655" spans="7:9" x14ac:dyDescent="0.15">
      <c r="G655">
        <v>636</v>
      </c>
      <c r="H655">
        <v>-20.919940455906151</v>
      </c>
      <c r="I655">
        <f t="shared" si="9"/>
        <v>1</v>
      </c>
    </row>
    <row r="656" spans="7:9" x14ac:dyDescent="0.15">
      <c r="G656">
        <v>637</v>
      </c>
      <c r="H656">
        <v>306.64514679705854</v>
      </c>
      <c r="I656">
        <f t="shared" si="9"/>
        <v>0</v>
      </c>
    </row>
    <row r="657" spans="7:9" x14ac:dyDescent="0.15">
      <c r="G657">
        <v>638</v>
      </c>
      <c r="H657">
        <v>-139.120480552061</v>
      </c>
      <c r="I657">
        <f t="shared" si="9"/>
        <v>1</v>
      </c>
    </row>
    <row r="658" spans="7:9" x14ac:dyDescent="0.15">
      <c r="G658">
        <v>639</v>
      </c>
      <c r="H658">
        <v>183.06837936494438</v>
      </c>
      <c r="I658">
        <f t="shared" si="9"/>
        <v>0</v>
      </c>
    </row>
    <row r="659" spans="7:9" x14ac:dyDescent="0.15">
      <c r="G659">
        <v>640</v>
      </c>
      <c r="H659">
        <v>-109.16118509953365</v>
      </c>
      <c r="I659">
        <f t="shared" si="9"/>
        <v>1</v>
      </c>
    </row>
    <row r="660" spans="7:9" x14ac:dyDescent="0.15">
      <c r="G660">
        <v>641</v>
      </c>
      <c r="H660">
        <v>-342.81599029967811</v>
      </c>
      <c r="I660">
        <f t="shared" si="9"/>
        <v>1</v>
      </c>
    </row>
    <row r="661" spans="7:9" x14ac:dyDescent="0.15">
      <c r="G661">
        <v>642</v>
      </c>
      <c r="H661">
        <v>-69.77815327068808</v>
      </c>
      <c r="I661">
        <f t="shared" ref="I661:I724" si="10">IF(H661&lt;0,1,0)</f>
        <v>1</v>
      </c>
    </row>
    <row r="662" spans="7:9" x14ac:dyDescent="0.15">
      <c r="G662">
        <v>643</v>
      </c>
      <c r="H662">
        <v>-104.25332087130238</v>
      </c>
      <c r="I662">
        <f t="shared" si="10"/>
        <v>1</v>
      </c>
    </row>
    <row r="663" spans="7:9" x14ac:dyDescent="0.15">
      <c r="G663">
        <v>644</v>
      </c>
      <c r="H663">
        <v>-132.40539180537394</v>
      </c>
      <c r="I663">
        <f t="shared" si="10"/>
        <v>1</v>
      </c>
    </row>
    <row r="664" spans="7:9" x14ac:dyDescent="0.15">
      <c r="G664">
        <v>645</v>
      </c>
      <c r="H664">
        <v>89.166145709597885</v>
      </c>
      <c r="I664">
        <f t="shared" si="10"/>
        <v>0</v>
      </c>
    </row>
    <row r="665" spans="7:9" x14ac:dyDescent="0.15">
      <c r="G665">
        <v>646</v>
      </c>
      <c r="H665">
        <v>309.41606751096913</v>
      </c>
      <c r="I665">
        <f t="shared" si="10"/>
        <v>0</v>
      </c>
    </row>
    <row r="666" spans="7:9" x14ac:dyDescent="0.15">
      <c r="G666">
        <v>647</v>
      </c>
      <c r="H666">
        <v>32.942258346713146</v>
      </c>
      <c r="I666">
        <f t="shared" si="10"/>
        <v>0</v>
      </c>
    </row>
    <row r="667" spans="7:9" x14ac:dyDescent="0.15">
      <c r="G667">
        <v>648</v>
      </c>
      <c r="H667">
        <v>-222.55928339971121</v>
      </c>
      <c r="I667">
        <f t="shared" si="10"/>
        <v>1</v>
      </c>
    </row>
    <row r="668" spans="7:9" x14ac:dyDescent="0.15">
      <c r="G668">
        <v>649</v>
      </c>
      <c r="H668">
        <v>-98.209567976598095</v>
      </c>
      <c r="I668">
        <f t="shared" si="10"/>
        <v>1</v>
      </c>
    </row>
    <row r="669" spans="7:9" x14ac:dyDescent="0.15">
      <c r="G669">
        <v>650</v>
      </c>
      <c r="H669">
        <v>-142.22124955297056</v>
      </c>
      <c r="I669">
        <f t="shared" si="10"/>
        <v>1</v>
      </c>
    </row>
    <row r="670" spans="7:9" x14ac:dyDescent="0.15">
      <c r="G670">
        <v>651</v>
      </c>
      <c r="H670">
        <v>184.97665632524712</v>
      </c>
      <c r="I670">
        <f t="shared" si="10"/>
        <v>0</v>
      </c>
    </row>
    <row r="671" spans="7:9" x14ac:dyDescent="0.15">
      <c r="G671">
        <v>652</v>
      </c>
      <c r="H671">
        <v>-12.290024687749721</v>
      </c>
      <c r="I671">
        <f t="shared" si="10"/>
        <v>1</v>
      </c>
    </row>
    <row r="672" spans="7:9" x14ac:dyDescent="0.15">
      <c r="G672">
        <v>653</v>
      </c>
      <c r="H672">
        <v>-163.10132943803427</v>
      </c>
      <c r="I672">
        <f t="shared" si="10"/>
        <v>1</v>
      </c>
    </row>
    <row r="673" spans="7:9" x14ac:dyDescent="0.15">
      <c r="G673">
        <v>654</v>
      </c>
      <c r="H673">
        <v>237.40213056736238</v>
      </c>
      <c r="I673">
        <f t="shared" si="10"/>
        <v>0</v>
      </c>
    </row>
    <row r="674" spans="7:9" x14ac:dyDescent="0.15">
      <c r="G674">
        <v>655</v>
      </c>
      <c r="H674">
        <v>283.33540017508938</v>
      </c>
      <c r="I674">
        <f t="shared" si="10"/>
        <v>0</v>
      </c>
    </row>
    <row r="675" spans="7:9" x14ac:dyDescent="0.15">
      <c r="G675">
        <v>656</v>
      </c>
      <c r="H675">
        <v>-433.41283376536671</v>
      </c>
      <c r="I675">
        <f t="shared" si="10"/>
        <v>1</v>
      </c>
    </row>
    <row r="676" spans="7:9" x14ac:dyDescent="0.15">
      <c r="G676">
        <v>657</v>
      </c>
      <c r="H676">
        <v>-175.76836803726513</v>
      </c>
      <c r="I676">
        <f t="shared" si="10"/>
        <v>1</v>
      </c>
    </row>
    <row r="677" spans="7:9" x14ac:dyDescent="0.15">
      <c r="G677">
        <v>658</v>
      </c>
      <c r="H677">
        <v>-282.40205793387918</v>
      </c>
      <c r="I677">
        <f t="shared" si="10"/>
        <v>1</v>
      </c>
    </row>
    <row r="678" spans="7:9" x14ac:dyDescent="0.15">
      <c r="G678">
        <v>659</v>
      </c>
      <c r="H678">
        <v>71.839152696521751</v>
      </c>
      <c r="I678">
        <f t="shared" si="10"/>
        <v>0</v>
      </c>
    </row>
    <row r="679" spans="7:9" x14ac:dyDescent="0.15">
      <c r="G679">
        <v>660</v>
      </c>
      <c r="H679">
        <v>31.709207008337792</v>
      </c>
      <c r="I679">
        <f t="shared" si="10"/>
        <v>0</v>
      </c>
    </row>
    <row r="680" spans="7:9" x14ac:dyDescent="0.15">
      <c r="G680">
        <v>661</v>
      </c>
      <c r="H680">
        <v>128.18270327272705</v>
      </c>
      <c r="I680">
        <f t="shared" si="10"/>
        <v>0</v>
      </c>
    </row>
    <row r="681" spans="7:9" x14ac:dyDescent="0.15">
      <c r="G681">
        <v>662</v>
      </c>
      <c r="H681">
        <v>270.33758825271434</v>
      </c>
      <c r="I681">
        <f t="shared" si="10"/>
        <v>0</v>
      </c>
    </row>
    <row r="682" spans="7:9" x14ac:dyDescent="0.15">
      <c r="G682">
        <v>663</v>
      </c>
      <c r="H682">
        <v>-325.72204458072389</v>
      </c>
      <c r="I682">
        <f t="shared" si="10"/>
        <v>1</v>
      </c>
    </row>
    <row r="683" spans="7:9" x14ac:dyDescent="0.15">
      <c r="G683">
        <v>664</v>
      </c>
      <c r="H683">
        <v>346.708453042869</v>
      </c>
      <c r="I683">
        <f t="shared" si="10"/>
        <v>0</v>
      </c>
    </row>
    <row r="684" spans="7:9" x14ac:dyDescent="0.15">
      <c r="G684">
        <v>665</v>
      </c>
      <c r="H684">
        <v>34.155747896585311</v>
      </c>
      <c r="I684">
        <f t="shared" si="10"/>
        <v>0</v>
      </c>
    </row>
    <row r="685" spans="7:9" x14ac:dyDescent="0.15">
      <c r="G685">
        <v>666</v>
      </c>
      <c r="H685">
        <v>244.08358717155014</v>
      </c>
      <c r="I685">
        <f t="shared" si="10"/>
        <v>0</v>
      </c>
    </row>
    <row r="686" spans="7:9" x14ac:dyDescent="0.15">
      <c r="G686">
        <v>667</v>
      </c>
      <c r="H686">
        <v>88.414241122072113</v>
      </c>
      <c r="I686">
        <f t="shared" si="10"/>
        <v>0</v>
      </c>
    </row>
    <row r="687" spans="7:9" x14ac:dyDescent="0.15">
      <c r="G687">
        <v>668</v>
      </c>
      <c r="H687">
        <v>-233.84689533211952</v>
      </c>
      <c r="I687">
        <f t="shared" si="10"/>
        <v>1</v>
      </c>
    </row>
    <row r="688" spans="7:9" x14ac:dyDescent="0.15">
      <c r="G688">
        <v>669</v>
      </c>
      <c r="H688">
        <v>-7.1948849886449153</v>
      </c>
      <c r="I688">
        <f t="shared" si="10"/>
        <v>1</v>
      </c>
    </row>
    <row r="689" spans="7:9" x14ac:dyDescent="0.15">
      <c r="G689">
        <v>670</v>
      </c>
      <c r="H689">
        <v>-350.49393783255596</v>
      </c>
      <c r="I689">
        <f t="shared" si="10"/>
        <v>1</v>
      </c>
    </row>
    <row r="690" spans="7:9" x14ac:dyDescent="0.15">
      <c r="G690">
        <v>671</v>
      </c>
      <c r="H690">
        <v>199.72377585869251</v>
      </c>
      <c r="I690">
        <f t="shared" si="10"/>
        <v>0</v>
      </c>
    </row>
    <row r="691" spans="7:9" x14ac:dyDescent="0.15">
      <c r="G691">
        <v>672</v>
      </c>
      <c r="H691">
        <v>98.051460311039634</v>
      </c>
      <c r="I691">
        <f t="shared" si="10"/>
        <v>0</v>
      </c>
    </row>
    <row r="692" spans="7:9" x14ac:dyDescent="0.15">
      <c r="G692">
        <v>673</v>
      </c>
      <c r="H692">
        <v>-253.30388560571095</v>
      </c>
      <c r="I692">
        <f t="shared" si="10"/>
        <v>1</v>
      </c>
    </row>
    <row r="693" spans="7:9" x14ac:dyDescent="0.15">
      <c r="G693">
        <v>674</v>
      </c>
      <c r="H693">
        <v>-253.74107334340198</v>
      </c>
      <c r="I693">
        <f t="shared" si="10"/>
        <v>1</v>
      </c>
    </row>
    <row r="694" spans="7:9" x14ac:dyDescent="0.15">
      <c r="G694">
        <v>675</v>
      </c>
      <c r="H694">
        <v>172.98830769752973</v>
      </c>
      <c r="I694">
        <f t="shared" si="10"/>
        <v>0</v>
      </c>
    </row>
    <row r="695" spans="7:9" x14ac:dyDescent="0.15">
      <c r="G695">
        <v>676</v>
      </c>
      <c r="H695">
        <v>94.705653431708541</v>
      </c>
      <c r="I695">
        <f t="shared" si="10"/>
        <v>0</v>
      </c>
    </row>
    <row r="696" spans="7:9" x14ac:dyDescent="0.15">
      <c r="G696">
        <v>677</v>
      </c>
      <c r="H696">
        <v>259.49972504609912</v>
      </c>
      <c r="I696">
        <f t="shared" si="10"/>
        <v>0</v>
      </c>
    </row>
    <row r="697" spans="7:9" x14ac:dyDescent="0.15">
      <c r="G697">
        <v>678</v>
      </c>
      <c r="H697">
        <v>294.28486179850381</v>
      </c>
      <c r="I697">
        <f t="shared" si="10"/>
        <v>0</v>
      </c>
    </row>
    <row r="698" spans="7:9" x14ac:dyDescent="0.15">
      <c r="G698">
        <v>679</v>
      </c>
      <c r="H698">
        <v>-33.838512038538802</v>
      </c>
      <c r="I698">
        <f t="shared" si="10"/>
        <v>1</v>
      </c>
    </row>
    <row r="699" spans="7:9" x14ac:dyDescent="0.15">
      <c r="G699">
        <v>680</v>
      </c>
      <c r="H699">
        <v>-1.2960823259674186</v>
      </c>
      <c r="I699">
        <f t="shared" si="10"/>
        <v>1</v>
      </c>
    </row>
    <row r="700" spans="7:9" x14ac:dyDescent="0.15">
      <c r="G700">
        <v>681</v>
      </c>
      <c r="H700">
        <v>215.03800343836585</v>
      </c>
      <c r="I700">
        <f t="shared" si="10"/>
        <v>0</v>
      </c>
    </row>
    <row r="701" spans="7:9" x14ac:dyDescent="0.15">
      <c r="G701">
        <v>682</v>
      </c>
      <c r="H701">
        <v>-42.579455985394844</v>
      </c>
      <c r="I701">
        <f t="shared" si="10"/>
        <v>1</v>
      </c>
    </row>
    <row r="702" spans="7:9" x14ac:dyDescent="0.15">
      <c r="G702">
        <v>683</v>
      </c>
      <c r="H702">
        <v>187.13514260524809</v>
      </c>
      <c r="I702">
        <f t="shared" si="10"/>
        <v>0</v>
      </c>
    </row>
    <row r="703" spans="7:9" x14ac:dyDescent="0.15">
      <c r="G703">
        <v>684</v>
      </c>
      <c r="H703">
        <v>-109.82031457997812</v>
      </c>
      <c r="I703">
        <f t="shared" si="10"/>
        <v>1</v>
      </c>
    </row>
    <row r="704" spans="7:9" x14ac:dyDescent="0.15">
      <c r="G704">
        <v>685</v>
      </c>
      <c r="H704">
        <v>256.19038411507614</v>
      </c>
      <c r="I704">
        <f t="shared" si="10"/>
        <v>0</v>
      </c>
    </row>
    <row r="705" spans="7:9" x14ac:dyDescent="0.15">
      <c r="G705">
        <v>686</v>
      </c>
      <c r="H705">
        <v>110.30683550777296</v>
      </c>
      <c r="I705">
        <f t="shared" si="10"/>
        <v>0</v>
      </c>
    </row>
    <row r="706" spans="7:9" x14ac:dyDescent="0.15">
      <c r="G706">
        <v>687</v>
      </c>
      <c r="H706">
        <v>145.9405326173283</v>
      </c>
      <c r="I706">
        <f t="shared" si="10"/>
        <v>0</v>
      </c>
    </row>
    <row r="707" spans="7:9" x14ac:dyDescent="0.15">
      <c r="G707">
        <v>688</v>
      </c>
      <c r="H707">
        <v>65.745885168454606</v>
      </c>
      <c r="I707">
        <f t="shared" si="10"/>
        <v>0</v>
      </c>
    </row>
    <row r="708" spans="7:9" x14ac:dyDescent="0.15">
      <c r="G708">
        <v>689</v>
      </c>
      <c r="H708">
        <v>-161.53707494353978</v>
      </c>
      <c r="I708">
        <f t="shared" si="10"/>
        <v>1</v>
      </c>
    </row>
    <row r="709" spans="7:9" x14ac:dyDescent="0.15">
      <c r="G709">
        <v>690</v>
      </c>
      <c r="H709">
        <v>-69.732064275919413</v>
      </c>
      <c r="I709">
        <f t="shared" si="10"/>
        <v>1</v>
      </c>
    </row>
    <row r="710" spans="7:9" x14ac:dyDescent="0.15">
      <c r="G710">
        <v>691</v>
      </c>
      <c r="H710">
        <v>27.098492057726716</v>
      </c>
      <c r="I710">
        <f t="shared" si="10"/>
        <v>0</v>
      </c>
    </row>
    <row r="711" spans="7:9" x14ac:dyDescent="0.15">
      <c r="G711">
        <v>692</v>
      </c>
      <c r="H711">
        <v>29.171251727482222</v>
      </c>
      <c r="I711">
        <f t="shared" si="10"/>
        <v>0</v>
      </c>
    </row>
    <row r="712" spans="7:9" x14ac:dyDescent="0.15">
      <c r="G712">
        <v>693</v>
      </c>
      <c r="H712">
        <v>36.062281833972165</v>
      </c>
      <c r="I712">
        <f t="shared" si="10"/>
        <v>0</v>
      </c>
    </row>
    <row r="713" spans="7:9" x14ac:dyDescent="0.15">
      <c r="G713">
        <v>694</v>
      </c>
      <c r="H713">
        <v>5.7298680183526898</v>
      </c>
      <c r="I713">
        <f t="shared" si="10"/>
        <v>0</v>
      </c>
    </row>
    <row r="714" spans="7:9" x14ac:dyDescent="0.15">
      <c r="G714">
        <v>695</v>
      </c>
      <c r="H714">
        <v>728.55009043207895</v>
      </c>
      <c r="I714">
        <f t="shared" si="10"/>
        <v>0</v>
      </c>
    </row>
    <row r="715" spans="7:9" x14ac:dyDescent="0.15">
      <c r="G715">
        <v>696</v>
      </c>
      <c r="H715">
        <v>-79.698180368268225</v>
      </c>
      <c r="I715">
        <f t="shared" si="10"/>
        <v>1</v>
      </c>
    </row>
    <row r="716" spans="7:9" x14ac:dyDescent="0.15">
      <c r="G716">
        <v>697</v>
      </c>
      <c r="H716">
        <v>-61.234660565832328</v>
      </c>
      <c r="I716">
        <f t="shared" si="10"/>
        <v>1</v>
      </c>
    </row>
    <row r="717" spans="7:9" x14ac:dyDescent="0.15">
      <c r="G717">
        <v>698</v>
      </c>
      <c r="H717">
        <v>132.05170135720869</v>
      </c>
      <c r="I717">
        <f t="shared" si="10"/>
        <v>0</v>
      </c>
    </row>
    <row r="718" spans="7:9" x14ac:dyDescent="0.15">
      <c r="G718">
        <v>699</v>
      </c>
      <c r="H718">
        <v>160.31766311006311</v>
      </c>
      <c r="I718">
        <f t="shared" si="10"/>
        <v>0</v>
      </c>
    </row>
    <row r="719" spans="7:9" x14ac:dyDescent="0.15">
      <c r="G719">
        <v>700</v>
      </c>
      <c r="H719">
        <v>-13.122998632153752</v>
      </c>
      <c r="I719">
        <f t="shared" si="10"/>
        <v>1</v>
      </c>
    </row>
    <row r="720" spans="7:9" x14ac:dyDescent="0.15">
      <c r="G720">
        <v>701</v>
      </c>
      <c r="H720">
        <v>329.07598586913662</v>
      </c>
      <c r="I720">
        <f t="shared" si="10"/>
        <v>0</v>
      </c>
    </row>
    <row r="721" spans="7:9" x14ac:dyDescent="0.15">
      <c r="G721">
        <v>702</v>
      </c>
      <c r="H721">
        <v>904.20022596952685</v>
      </c>
      <c r="I721">
        <f t="shared" si="10"/>
        <v>0</v>
      </c>
    </row>
    <row r="722" spans="7:9" x14ac:dyDescent="0.15">
      <c r="G722">
        <v>703</v>
      </c>
      <c r="H722">
        <v>-116.38488355154774</v>
      </c>
      <c r="I722">
        <f t="shared" si="10"/>
        <v>1</v>
      </c>
    </row>
    <row r="723" spans="7:9" x14ac:dyDescent="0.15">
      <c r="G723">
        <v>704</v>
      </c>
      <c r="H723">
        <v>559.65931884948816</v>
      </c>
      <c r="I723">
        <f t="shared" si="10"/>
        <v>0</v>
      </c>
    </row>
    <row r="724" spans="7:9" x14ac:dyDescent="0.15">
      <c r="G724">
        <v>705</v>
      </c>
      <c r="H724">
        <v>80.51233054530212</v>
      </c>
      <c r="I724">
        <f t="shared" si="10"/>
        <v>0</v>
      </c>
    </row>
    <row r="725" spans="7:9" x14ac:dyDescent="0.15">
      <c r="G725">
        <v>706</v>
      </c>
      <c r="H725">
        <v>-46.905104360373059</v>
      </c>
      <c r="I725">
        <f t="shared" ref="I725:I788" si="11">IF(H725&lt;0,1,0)</f>
        <v>1</v>
      </c>
    </row>
    <row r="726" spans="7:9" x14ac:dyDescent="0.15">
      <c r="G726">
        <v>707</v>
      </c>
      <c r="H726">
        <v>-237.97952456621562</v>
      </c>
      <c r="I726">
        <f t="shared" si="11"/>
        <v>1</v>
      </c>
    </row>
    <row r="727" spans="7:9" x14ac:dyDescent="0.15">
      <c r="G727">
        <v>708</v>
      </c>
      <c r="H727">
        <v>182.99074882868672</v>
      </c>
      <c r="I727">
        <f t="shared" si="11"/>
        <v>0</v>
      </c>
    </row>
    <row r="728" spans="7:9" x14ac:dyDescent="0.15">
      <c r="G728">
        <v>709</v>
      </c>
      <c r="H728">
        <v>174.10511421046016</v>
      </c>
      <c r="I728">
        <f t="shared" si="11"/>
        <v>0</v>
      </c>
    </row>
    <row r="729" spans="7:9" x14ac:dyDescent="0.15">
      <c r="G729">
        <v>710</v>
      </c>
      <c r="H729">
        <v>8.5372021342305544</v>
      </c>
      <c r="I729">
        <f t="shared" si="11"/>
        <v>0</v>
      </c>
    </row>
    <row r="730" spans="7:9" x14ac:dyDescent="0.15">
      <c r="G730">
        <v>711</v>
      </c>
      <c r="H730">
        <v>339.38044988255285</v>
      </c>
      <c r="I730">
        <f t="shared" si="11"/>
        <v>0</v>
      </c>
    </row>
    <row r="731" spans="7:9" x14ac:dyDescent="0.15">
      <c r="G731">
        <v>712</v>
      </c>
      <c r="H731">
        <v>-136.0794148680022</v>
      </c>
      <c r="I731">
        <f t="shared" si="11"/>
        <v>1</v>
      </c>
    </row>
    <row r="732" spans="7:9" x14ac:dyDescent="0.15">
      <c r="G732">
        <v>713</v>
      </c>
      <c r="H732">
        <v>-115.69567279087131</v>
      </c>
      <c r="I732">
        <f t="shared" si="11"/>
        <v>1</v>
      </c>
    </row>
    <row r="733" spans="7:9" x14ac:dyDescent="0.15">
      <c r="G733">
        <v>714</v>
      </c>
      <c r="H733">
        <v>13.437902436030356</v>
      </c>
      <c r="I733">
        <f t="shared" si="11"/>
        <v>0</v>
      </c>
    </row>
    <row r="734" spans="7:9" x14ac:dyDescent="0.15">
      <c r="G734">
        <v>715</v>
      </c>
      <c r="H734">
        <v>340.16629058383057</v>
      </c>
      <c r="I734">
        <f t="shared" si="11"/>
        <v>0</v>
      </c>
    </row>
    <row r="735" spans="7:9" x14ac:dyDescent="0.15">
      <c r="G735">
        <v>716</v>
      </c>
      <c r="H735">
        <v>76.045099059375204</v>
      </c>
      <c r="I735">
        <f t="shared" si="11"/>
        <v>0</v>
      </c>
    </row>
    <row r="736" spans="7:9" x14ac:dyDescent="0.15">
      <c r="G736">
        <v>717</v>
      </c>
      <c r="H736">
        <v>164.25599145476428</v>
      </c>
      <c r="I736">
        <f t="shared" si="11"/>
        <v>0</v>
      </c>
    </row>
    <row r="737" spans="7:9" x14ac:dyDescent="0.15">
      <c r="G737">
        <v>718</v>
      </c>
      <c r="H737">
        <v>17.096218145347336</v>
      </c>
      <c r="I737">
        <f t="shared" si="11"/>
        <v>0</v>
      </c>
    </row>
    <row r="738" spans="7:9" x14ac:dyDescent="0.15">
      <c r="G738">
        <v>719</v>
      </c>
      <c r="H738">
        <v>249.8834759200638</v>
      </c>
      <c r="I738">
        <f t="shared" si="11"/>
        <v>0</v>
      </c>
    </row>
    <row r="739" spans="7:9" x14ac:dyDescent="0.15">
      <c r="G739">
        <v>720</v>
      </c>
      <c r="H739">
        <v>-280.34780863796811</v>
      </c>
      <c r="I739">
        <f t="shared" si="11"/>
        <v>1</v>
      </c>
    </row>
    <row r="740" spans="7:9" x14ac:dyDescent="0.15">
      <c r="G740">
        <v>721</v>
      </c>
      <c r="H740">
        <v>173.57317564346641</v>
      </c>
      <c r="I740">
        <f t="shared" si="11"/>
        <v>0</v>
      </c>
    </row>
    <row r="741" spans="7:9" x14ac:dyDescent="0.15">
      <c r="G741">
        <v>722</v>
      </c>
      <c r="H741">
        <v>158.54936336558836</v>
      </c>
      <c r="I741">
        <f t="shared" si="11"/>
        <v>0</v>
      </c>
    </row>
    <row r="742" spans="7:9" x14ac:dyDescent="0.15">
      <c r="G742">
        <v>723</v>
      </c>
      <c r="H742">
        <v>287.70606443640094</v>
      </c>
      <c r="I742">
        <f t="shared" si="11"/>
        <v>0</v>
      </c>
    </row>
    <row r="743" spans="7:9" x14ac:dyDescent="0.15">
      <c r="G743">
        <v>724</v>
      </c>
      <c r="H743">
        <v>296.42566077794055</v>
      </c>
      <c r="I743">
        <f t="shared" si="11"/>
        <v>0</v>
      </c>
    </row>
    <row r="744" spans="7:9" x14ac:dyDescent="0.15">
      <c r="G744">
        <v>725</v>
      </c>
      <c r="H744">
        <v>113.70855826206522</v>
      </c>
      <c r="I744">
        <f t="shared" si="11"/>
        <v>0</v>
      </c>
    </row>
    <row r="745" spans="7:9" x14ac:dyDescent="0.15">
      <c r="G745">
        <v>726</v>
      </c>
      <c r="H745">
        <v>234.88229956955519</v>
      </c>
      <c r="I745">
        <f t="shared" si="11"/>
        <v>0</v>
      </c>
    </row>
    <row r="746" spans="7:9" x14ac:dyDescent="0.15">
      <c r="G746">
        <v>727</v>
      </c>
      <c r="H746">
        <v>232.43554824753548</v>
      </c>
      <c r="I746">
        <f t="shared" si="11"/>
        <v>0</v>
      </c>
    </row>
    <row r="747" spans="7:9" x14ac:dyDescent="0.15">
      <c r="G747">
        <v>728</v>
      </c>
      <c r="H747">
        <v>183.22238694672291</v>
      </c>
      <c r="I747">
        <f t="shared" si="11"/>
        <v>0</v>
      </c>
    </row>
    <row r="748" spans="7:9" x14ac:dyDescent="0.15">
      <c r="G748">
        <v>729</v>
      </c>
      <c r="H748">
        <v>-174.37256586568913</v>
      </c>
      <c r="I748">
        <f t="shared" si="11"/>
        <v>1</v>
      </c>
    </row>
    <row r="749" spans="7:9" x14ac:dyDescent="0.15">
      <c r="G749">
        <v>730</v>
      </c>
      <c r="H749">
        <v>-169.29858049890061</v>
      </c>
      <c r="I749">
        <f t="shared" si="11"/>
        <v>1</v>
      </c>
    </row>
    <row r="750" spans="7:9" x14ac:dyDescent="0.15">
      <c r="G750">
        <v>731</v>
      </c>
      <c r="H750">
        <v>-6.5384436165140443</v>
      </c>
      <c r="I750">
        <f t="shared" si="11"/>
        <v>1</v>
      </c>
    </row>
    <row r="751" spans="7:9" x14ac:dyDescent="0.15">
      <c r="G751">
        <v>732</v>
      </c>
      <c r="H751">
        <v>-170.42763368685155</v>
      </c>
      <c r="I751">
        <f t="shared" si="11"/>
        <v>1</v>
      </c>
    </row>
    <row r="752" spans="7:9" x14ac:dyDescent="0.15">
      <c r="G752">
        <v>733</v>
      </c>
      <c r="H752">
        <v>-81.907537557622135</v>
      </c>
      <c r="I752">
        <f t="shared" si="11"/>
        <v>1</v>
      </c>
    </row>
    <row r="753" spans="7:9" x14ac:dyDescent="0.15">
      <c r="G753">
        <v>734</v>
      </c>
      <c r="H753">
        <v>177.2627817390069</v>
      </c>
      <c r="I753">
        <f t="shared" si="11"/>
        <v>0</v>
      </c>
    </row>
    <row r="754" spans="7:9" x14ac:dyDescent="0.15">
      <c r="G754">
        <v>735</v>
      </c>
      <c r="H754">
        <v>275.1263912906166</v>
      </c>
      <c r="I754">
        <f t="shared" si="11"/>
        <v>0</v>
      </c>
    </row>
    <row r="755" spans="7:9" x14ac:dyDescent="0.15">
      <c r="G755">
        <v>736</v>
      </c>
      <c r="H755">
        <v>-82.129470884036806</v>
      </c>
      <c r="I755">
        <f t="shared" si="11"/>
        <v>1</v>
      </c>
    </row>
    <row r="756" spans="7:9" x14ac:dyDescent="0.15">
      <c r="G756">
        <v>737</v>
      </c>
      <c r="H756">
        <v>369.71955422275175</v>
      </c>
      <c r="I756">
        <f t="shared" si="11"/>
        <v>0</v>
      </c>
    </row>
    <row r="757" spans="7:9" x14ac:dyDescent="0.15">
      <c r="G757">
        <v>738</v>
      </c>
      <c r="H757">
        <v>-110.75905078696871</v>
      </c>
      <c r="I757">
        <f t="shared" si="11"/>
        <v>1</v>
      </c>
    </row>
    <row r="758" spans="7:9" x14ac:dyDescent="0.15">
      <c r="G758">
        <v>739</v>
      </c>
      <c r="H758">
        <v>-217.05338500761331</v>
      </c>
      <c r="I758">
        <f t="shared" si="11"/>
        <v>1</v>
      </c>
    </row>
    <row r="759" spans="7:9" x14ac:dyDescent="0.15">
      <c r="G759">
        <v>740</v>
      </c>
      <c r="H759">
        <v>210.11430386287026</v>
      </c>
      <c r="I759">
        <f t="shared" si="11"/>
        <v>0</v>
      </c>
    </row>
    <row r="760" spans="7:9" x14ac:dyDescent="0.15">
      <c r="G760">
        <v>741</v>
      </c>
      <c r="H760">
        <v>-16.284620929281573</v>
      </c>
      <c r="I760">
        <f t="shared" si="11"/>
        <v>1</v>
      </c>
    </row>
    <row r="761" spans="7:9" x14ac:dyDescent="0.15">
      <c r="G761">
        <v>742</v>
      </c>
      <c r="H761">
        <v>547.28118179171054</v>
      </c>
      <c r="I761">
        <f t="shared" si="11"/>
        <v>0</v>
      </c>
    </row>
    <row r="762" spans="7:9" x14ac:dyDescent="0.15">
      <c r="G762">
        <v>743</v>
      </c>
      <c r="H762">
        <v>376.80432523210413</v>
      </c>
      <c r="I762">
        <f t="shared" si="11"/>
        <v>0</v>
      </c>
    </row>
    <row r="763" spans="7:9" x14ac:dyDescent="0.15">
      <c r="G763">
        <v>744</v>
      </c>
      <c r="H763">
        <v>69.647913652093933</v>
      </c>
      <c r="I763">
        <f t="shared" si="11"/>
        <v>0</v>
      </c>
    </row>
    <row r="764" spans="7:9" x14ac:dyDescent="0.15">
      <c r="G764">
        <v>745</v>
      </c>
      <c r="H764">
        <v>68.873363976299515</v>
      </c>
      <c r="I764">
        <f t="shared" si="11"/>
        <v>0</v>
      </c>
    </row>
    <row r="765" spans="7:9" x14ac:dyDescent="0.15">
      <c r="G765">
        <v>746</v>
      </c>
      <c r="H765">
        <v>5.559332805801688</v>
      </c>
      <c r="I765">
        <f t="shared" si="11"/>
        <v>0</v>
      </c>
    </row>
    <row r="766" spans="7:9" x14ac:dyDescent="0.15">
      <c r="G766">
        <v>747</v>
      </c>
      <c r="H766">
        <v>300.19351554024661</v>
      </c>
      <c r="I766">
        <f t="shared" si="11"/>
        <v>0</v>
      </c>
    </row>
    <row r="767" spans="7:9" x14ac:dyDescent="0.15">
      <c r="G767">
        <v>748</v>
      </c>
      <c r="H767">
        <v>362.74448217700626</v>
      </c>
      <c r="I767">
        <f t="shared" si="11"/>
        <v>0</v>
      </c>
    </row>
    <row r="768" spans="7:9" x14ac:dyDescent="0.15">
      <c r="G768">
        <v>749</v>
      </c>
      <c r="H768">
        <v>232.5163302641264</v>
      </c>
      <c r="I768">
        <f t="shared" si="11"/>
        <v>0</v>
      </c>
    </row>
    <row r="769" spans="7:9" x14ac:dyDescent="0.15">
      <c r="G769">
        <v>750</v>
      </c>
      <c r="H769">
        <v>-71.244685666684347</v>
      </c>
      <c r="I769">
        <f t="shared" si="11"/>
        <v>1</v>
      </c>
    </row>
    <row r="770" spans="7:9" x14ac:dyDescent="0.15">
      <c r="G770">
        <v>751</v>
      </c>
      <c r="H770">
        <v>392.05432302461247</v>
      </c>
      <c r="I770">
        <f t="shared" si="11"/>
        <v>0</v>
      </c>
    </row>
    <row r="771" spans="7:9" x14ac:dyDescent="0.15">
      <c r="G771">
        <v>752</v>
      </c>
      <c r="H771">
        <v>62.935703085650175</v>
      </c>
      <c r="I771">
        <f t="shared" si="11"/>
        <v>0</v>
      </c>
    </row>
    <row r="772" spans="7:9" x14ac:dyDescent="0.15">
      <c r="G772">
        <v>753</v>
      </c>
      <c r="H772">
        <v>-23.53217420793824</v>
      </c>
      <c r="I772">
        <f t="shared" si="11"/>
        <v>1</v>
      </c>
    </row>
    <row r="773" spans="7:9" x14ac:dyDescent="0.15">
      <c r="G773">
        <v>754</v>
      </c>
      <c r="H773">
        <v>50.496138864860839</v>
      </c>
      <c r="I773">
        <f t="shared" si="11"/>
        <v>0</v>
      </c>
    </row>
    <row r="774" spans="7:9" x14ac:dyDescent="0.15">
      <c r="G774">
        <v>755</v>
      </c>
      <c r="H774">
        <v>-61.543686633920871</v>
      </c>
      <c r="I774">
        <f t="shared" si="11"/>
        <v>1</v>
      </c>
    </row>
    <row r="775" spans="7:9" x14ac:dyDescent="0.15">
      <c r="G775">
        <v>756</v>
      </c>
      <c r="H775">
        <v>-135.95300540128943</v>
      </c>
      <c r="I775">
        <f t="shared" si="11"/>
        <v>1</v>
      </c>
    </row>
    <row r="776" spans="7:9" x14ac:dyDescent="0.15">
      <c r="G776">
        <v>757</v>
      </c>
      <c r="H776">
        <v>-210.04164815934587</v>
      </c>
      <c r="I776">
        <f t="shared" si="11"/>
        <v>1</v>
      </c>
    </row>
    <row r="777" spans="7:9" x14ac:dyDescent="0.15">
      <c r="G777">
        <v>758</v>
      </c>
      <c r="H777">
        <v>-306.70160660446049</v>
      </c>
      <c r="I777">
        <f t="shared" si="11"/>
        <v>1</v>
      </c>
    </row>
    <row r="778" spans="7:9" x14ac:dyDescent="0.15">
      <c r="G778">
        <v>759</v>
      </c>
      <c r="H778">
        <v>-159.17739815324256</v>
      </c>
      <c r="I778">
        <f t="shared" si="11"/>
        <v>1</v>
      </c>
    </row>
    <row r="779" spans="7:9" x14ac:dyDescent="0.15">
      <c r="G779">
        <v>760</v>
      </c>
      <c r="H779">
        <v>13.470854728675533</v>
      </c>
      <c r="I779">
        <f t="shared" si="11"/>
        <v>0</v>
      </c>
    </row>
    <row r="780" spans="7:9" x14ac:dyDescent="0.15">
      <c r="G780">
        <v>761</v>
      </c>
      <c r="H780">
        <v>-285.05884078866347</v>
      </c>
      <c r="I780">
        <f t="shared" si="11"/>
        <v>1</v>
      </c>
    </row>
    <row r="781" spans="7:9" x14ac:dyDescent="0.15">
      <c r="G781">
        <v>762</v>
      </c>
      <c r="H781">
        <v>-41.562836349096258</v>
      </c>
      <c r="I781">
        <f t="shared" si="11"/>
        <v>1</v>
      </c>
    </row>
    <row r="782" spans="7:9" x14ac:dyDescent="0.15">
      <c r="G782">
        <v>763</v>
      </c>
      <c r="H782">
        <v>260.06803256151318</v>
      </c>
      <c r="I782">
        <f t="shared" si="11"/>
        <v>0</v>
      </c>
    </row>
    <row r="783" spans="7:9" x14ac:dyDescent="0.15">
      <c r="G783">
        <v>764</v>
      </c>
      <c r="H783">
        <v>-32.549856922880238</v>
      </c>
      <c r="I783">
        <f t="shared" si="11"/>
        <v>1</v>
      </c>
    </row>
    <row r="784" spans="7:9" x14ac:dyDescent="0.15">
      <c r="G784">
        <v>765</v>
      </c>
      <c r="H784">
        <v>72.553266066424442</v>
      </c>
      <c r="I784">
        <f t="shared" si="11"/>
        <v>0</v>
      </c>
    </row>
    <row r="785" spans="7:9" x14ac:dyDescent="0.15">
      <c r="G785">
        <v>766</v>
      </c>
      <c r="H785">
        <v>495.30856209610874</v>
      </c>
      <c r="I785">
        <f t="shared" si="11"/>
        <v>0</v>
      </c>
    </row>
    <row r="786" spans="7:9" x14ac:dyDescent="0.15">
      <c r="G786">
        <v>767</v>
      </c>
      <c r="H786">
        <v>549.24386135767304</v>
      </c>
      <c r="I786">
        <f t="shared" si="11"/>
        <v>0</v>
      </c>
    </row>
    <row r="787" spans="7:9" x14ac:dyDescent="0.15">
      <c r="G787">
        <v>768</v>
      </c>
      <c r="H787">
        <v>52.725718426727767</v>
      </c>
      <c r="I787">
        <f t="shared" si="11"/>
        <v>0</v>
      </c>
    </row>
    <row r="788" spans="7:9" x14ac:dyDescent="0.15">
      <c r="G788">
        <v>769</v>
      </c>
      <c r="H788">
        <v>48.607830656117798</v>
      </c>
      <c r="I788">
        <f t="shared" si="11"/>
        <v>0</v>
      </c>
    </row>
    <row r="789" spans="7:9" x14ac:dyDescent="0.15">
      <c r="G789">
        <v>770</v>
      </c>
      <c r="H789">
        <v>-10.746715374537771</v>
      </c>
      <c r="I789">
        <f t="shared" ref="I789:I852" si="12">IF(H789&lt;0,1,0)</f>
        <v>1</v>
      </c>
    </row>
    <row r="790" spans="7:9" x14ac:dyDescent="0.15">
      <c r="G790">
        <v>771</v>
      </c>
      <c r="H790">
        <v>575.39704572630012</v>
      </c>
      <c r="I790">
        <f t="shared" si="12"/>
        <v>0</v>
      </c>
    </row>
    <row r="791" spans="7:9" x14ac:dyDescent="0.15">
      <c r="G791">
        <v>772</v>
      </c>
      <c r="H791">
        <v>25.920924753141392</v>
      </c>
      <c r="I791">
        <f t="shared" si="12"/>
        <v>0</v>
      </c>
    </row>
    <row r="792" spans="7:9" x14ac:dyDescent="0.15">
      <c r="G792">
        <v>773</v>
      </c>
      <c r="H792">
        <v>-191.95687333276393</v>
      </c>
      <c r="I792">
        <f t="shared" si="12"/>
        <v>1</v>
      </c>
    </row>
    <row r="793" spans="7:9" x14ac:dyDescent="0.15">
      <c r="G793">
        <v>774</v>
      </c>
      <c r="H793">
        <v>-386.6205792550042</v>
      </c>
      <c r="I793">
        <f t="shared" si="12"/>
        <v>1</v>
      </c>
    </row>
    <row r="794" spans="7:9" x14ac:dyDescent="0.15">
      <c r="G794">
        <v>775</v>
      </c>
      <c r="H794">
        <v>621.03702771758446</v>
      </c>
      <c r="I794">
        <f t="shared" si="12"/>
        <v>0</v>
      </c>
    </row>
    <row r="795" spans="7:9" x14ac:dyDescent="0.15">
      <c r="G795">
        <v>776</v>
      </c>
      <c r="H795">
        <v>60.604925770879461</v>
      </c>
      <c r="I795">
        <f t="shared" si="12"/>
        <v>0</v>
      </c>
    </row>
    <row r="796" spans="7:9" x14ac:dyDescent="0.15">
      <c r="G796">
        <v>777</v>
      </c>
      <c r="H796">
        <v>144.36766874374462</v>
      </c>
      <c r="I796">
        <f t="shared" si="12"/>
        <v>0</v>
      </c>
    </row>
    <row r="797" spans="7:9" x14ac:dyDescent="0.15">
      <c r="G797">
        <v>778</v>
      </c>
      <c r="H797">
        <v>846.88885286516518</v>
      </c>
      <c r="I797">
        <f t="shared" si="12"/>
        <v>0</v>
      </c>
    </row>
    <row r="798" spans="7:9" x14ac:dyDescent="0.15">
      <c r="G798">
        <v>779</v>
      </c>
      <c r="H798">
        <v>-178.83147434047083</v>
      </c>
      <c r="I798">
        <f t="shared" si="12"/>
        <v>1</v>
      </c>
    </row>
    <row r="799" spans="7:9" x14ac:dyDescent="0.15">
      <c r="G799">
        <v>780</v>
      </c>
      <c r="H799">
        <v>-4.9798432308874325</v>
      </c>
      <c r="I799">
        <f t="shared" si="12"/>
        <v>1</v>
      </c>
    </row>
    <row r="800" spans="7:9" x14ac:dyDescent="0.15">
      <c r="G800">
        <v>781</v>
      </c>
      <c r="H800">
        <v>246.13497511632937</v>
      </c>
      <c r="I800">
        <f t="shared" si="12"/>
        <v>0</v>
      </c>
    </row>
    <row r="801" spans="7:9" x14ac:dyDescent="0.15">
      <c r="G801">
        <v>782</v>
      </c>
      <c r="H801">
        <v>-161.12315803686488</v>
      </c>
      <c r="I801">
        <f t="shared" si="12"/>
        <v>1</v>
      </c>
    </row>
    <row r="802" spans="7:9" x14ac:dyDescent="0.15">
      <c r="G802">
        <v>783</v>
      </c>
      <c r="H802">
        <v>277.09739276562749</v>
      </c>
      <c r="I802">
        <f t="shared" si="12"/>
        <v>0</v>
      </c>
    </row>
    <row r="803" spans="7:9" x14ac:dyDescent="0.15">
      <c r="G803">
        <v>784</v>
      </c>
      <c r="H803">
        <v>54.896431000025544</v>
      </c>
      <c r="I803">
        <f t="shared" si="12"/>
        <v>0</v>
      </c>
    </row>
    <row r="804" spans="7:9" x14ac:dyDescent="0.15">
      <c r="G804">
        <v>785</v>
      </c>
      <c r="H804">
        <v>-184.04759190135593</v>
      </c>
      <c r="I804">
        <f t="shared" si="12"/>
        <v>1</v>
      </c>
    </row>
    <row r="805" spans="7:9" x14ac:dyDescent="0.15">
      <c r="G805">
        <v>786</v>
      </c>
      <c r="H805">
        <v>58.025816794467161</v>
      </c>
      <c r="I805">
        <f t="shared" si="12"/>
        <v>0</v>
      </c>
    </row>
    <row r="806" spans="7:9" x14ac:dyDescent="0.15">
      <c r="G806">
        <v>787</v>
      </c>
      <c r="H806">
        <v>-273.00765887570799</v>
      </c>
      <c r="I806">
        <f t="shared" si="12"/>
        <v>1</v>
      </c>
    </row>
    <row r="807" spans="7:9" x14ac:dyDescent="0.15">
      <c r="G807">
        <v>788</v>
      </c>
      <c r="H807">
        <v>-210.27555919868928</v>
      </c>
      <c r="I807">
        <f t="shared" si="12"/>
        <v>1</v>
      </c>
    </row>
    <row r="808" spans="7:9" x14ac:dyDescent="0.15">
      <c r="G808">
        <v>789</v>
      </c>
      <c r="H808">
        <v>-61.56772220027603</v>
      </c>
      <c r="I808">
        <f t="shared" si="12"/>
        <v>1</v>
      </c>
    </row>
    <row r="809" spans="7:9" x14ac:dyDescent="0.15">
      <c r="G809">
        <v>790</v>
      </c>
      <c r="H809">
        <v>-178.49123373564771</v>
      </c>
      <c r="I809">
        <f t="shared" si="12"/>
        <v>1</v>
      </c>
    </row>
    <row r="810" spans="7:9" x14ac:dyDescent="0.15">
      <c r="G810">
        <v>791</v>
      </c>
      <c r="H810">
        <v>-64.305518576396793</v>
      </c>
      <c r="I810">
        <f t="shared" si="12"/>
        <v>1</v>
      </c>
    </row>
    <row r="811" spans="7:9" x14ac:dyDescent="0.15">
      <c r="G811">
        <v>792</v>
      </c>
      <c r="H811">
        <v>-180.63834166797514</v>
      </c>
      <c r="I811">
        <f t="shared" si="12"/>
        <v>1</v>
      </c>
    </row>
    <row r="812" spans="7:9" x14ac:dyDescent="0.15">
      <c r="G812">
        <v>793</v>
      </c>
      <c r="H812">
        <v>588.07865694719646</v>
      </c>
      <c r="I812">
        <f t="shared" si="12"/>
        <v>0</v>
      </c>
    </row>
    <row r="813" spans="7:9" x14ac:dyDescent="0.15">
      <c r="G813">
        <v>794</v>
      </c>
      <c r="H813">
        <v>-368.36995269099339</v>
      </c>
      <c r="I813">
        <f t="shared" si="12"/>
        <v>1</v>
      </c>
    </row>
    <row r="814" spans="7:9" x14ac:dyDescent="0.15">
      <c r="G814">
        <v>795</v>
      </c>
      <c r="H814">
        <v>340.11288709070544</v>
      </c>
      <c r="I814">
        <f t="shared" si="12"/>
        <v>0</v>
      </c>
    </row>
    <row r="815" spans="7:9" x14ac:dyDescent="0.15">
      <c r="G815">
        <v>796</v>
      </c>
      <c r="H815">
        <v>-205.42391563134225</v>
      </c>
      <c r="I815">
        <f t="shared" si="12"/>
        <v>1</v>
      </c>
    </row>
    <row r="816" spans="7:9" x14ac:dyDescent="0.15">
      <c r="G816">
        <v>797</v>
      </c>
      <c r="H816">
        <v>58.639791949418594</v>
      </c>
      <c r="I816">
        <f t="shared" si="12"/>
        <v>0</v>
      </c>
    </row>
    <row r="817" spans="7:9" x14ac:dyDescent="0.15">
      <c r="G817">
        <v>798</v>
      </c>
      <c r="H817">
        <v>60.556183190010927</v>
      </c>
      <c r="I817">
        <f t="shared" si="12"/>
        <v>0</v>
      </c>
    </row>
    <row r="818" spans="7:9" x14ac:dyDescent="0.15">
      <c r="G818">
        <v>799</v>
      </c>
      <c r="H818">
        <v>73.497468575932444</v>
      </c>
      <c r="I818">
        <f t="shared" si="12"/>
        <v>0</v>
      </c>
    </row>
    <row r="819" spans="7:9" x14ac:dyDescent="0.15">
      <c r="G819">
        <v>800</v>
      </c>
      <c r="H819">
        <v>301.23438448597892</v>
      </c>
      <c r="I819">
        <f t="shared" si="12"/>
        <v>0</v>
      </c>
    </row>
    <row r="820" spans="7:9" x14ac:dyDescent="0.15">
      <c r="G820">
        <v>801</v>
      </c>
      <c r="H820">
        <v>-94.920708573285765</v>
      </c>
      <c r="I820">
        <f t="shared" si="12"/>
        <v>1</v>
      </c>
    </row>
    <row r="821" spans="7:9" x14ac:dyDescent="0.15">
      <c r="G821">
        <v>802</v>
      </c>
      <c r="H821">
        <v>255.07373557132411</v>
      </c>
      <c r="I821">
        <f t="shared" si="12"/>
        <v>0</v>
      </c>
    </row>
    <row r="822" spans="7:9" x14ac:dyDescent="0.15">
      <c r="G822">
        <v>803</v>
      </c>
      <c r="H822">
        <v>-69.174459670551158</v>
      </c>
      <c r="I822">
        <f t="shared" si="12"/>
        <v>1</v>
      </c>
    </row>
    <row r="823" spans="7:9" x14ac:dyDescent="0.15">
      <c r="G823">
        <v>804</v>
      </c>
      <c r="H823">
        <v>371.83507815153996</v>
      </c>
      <c r="I823">
        <f t="shared" si="12"/>
        <v>0</v>
      </c>
    </row>
    <row r="824" spans="7:9" x14ac:dyDescent="0.15">
      <c r="G824">
        <v>805</v>
      </c>
      <c r="H824">
        <v>104.68835549662064</v>
      </c>
      <c r="I824">
        <f t="shared" si="12"/>
        <v>0</v>
      </c>
    </row>
    <row r="825" spans="7:9" x14ac:dyDescent="0.15">
      <c r="G825">
        <v>806</v>
      </c>
      <c r="H825">
        <v>34.550597908003823</v>
      </c>
      <c r="I825">
        <f t="shared" si="12"/>
        <v>0</v>
      </c>
    </row>
    <row r="826" spans="7:9" x14ac:dyDescent="0.15">
      <c r="G826">
        <v>807</v>
      </c>
      <c r="H826">
        <v>403.5691381940793</v>
      </c>
      <c r="I826">
        <f t="shared" si="12"/>
        <v>0</v>
      </c>
    </row>
    <row r="827" spans="7:9" x14ac:dyDescent="0.15">
      <c r="G827">
        <v>808</v>
      </c>
      <c r="H827">
        <v>200.98172385919949</v>
      </c>
      <c r="I827">
        <f t="shared" si="12"/>
        <v>0</v>
      </c>
    </row>
    <row r="828" spans="7:9" x14ac:dyDescent="0.15">
      <c r="G828">
        <v>809</v>
      </c>
      <c r="H828">
        <v>-149.87571140006213</v>
      </c>
      <c r="I828">
        <f t="shared" si="12"/>
        <v>1</v>
      </c>
    </row>
    <row r="829" spans="7:9" x14ac:dyDescent="0.15">
      <c r="G829">
        <v>810</v>
      </c>
      <c r="H829">
        <v>16.407224553141454</v>
      </c>
      <c r="I829">
        <f t="shared" si="12"/>
        <v>0</v>
      </c>
    </row>
    <row r="830" spans="7:9" x14ac:dyDescent="0.15">
      <c r="G830">
        <v>811</v>
      </c>
      <c r="H830">
        <v>218.49585220920216</v>
      </c>
      <c r="I830">
        <f t="shared" si="12"/>
        <v>0</v>
      </c>
    </row>
    <row r="831" spans="7:9" x14ac:dyDescent="0.15">
      <c r="G831">
        <v>812</v>
      </c>
      <c r="H831">
        <v>-219.84540648620282</v>
      </c>
      <c r="I831">
        <f t="shared" si="12"/>
        <v>1</v>
      </c>
    </row>
    <row r="832" spans="7:9" x14ac:dyDescent="0.15">
      <c r="G832">
        <v>813</v>
      </c>
      <c r="H832">
        <v>-191.35762765872067</v>
      </c>
      <c r="I832">
        <f t="shared" si="12"/>
        <v>1</v>
      </c>
    </row>
    <row r="833" spans="7:9" x14ac:dyDescent="0.15">
      <c r="G833">
        <v>814</v>
      </c>
      <c r="H833">
        <v>-163.45475122192602</v>
      </c>
      <c r="I833">
        <f t="shared" si="12"/>
        <v>1</v>
      </c>
    </row>
    <row r="834" spans="7:9" x14ac:dyDescent="0.15">
      <c r="G834">
        <v>815</v>
      </c>
      <c r="H834">
        <v>212.80275591749097</v>
      </c>
      <c r="I834">
        <f t="shared" si="12"/>
        <v>0</v>
      </c>
    </row>
    <row r="835" spans="7:9" x14ac:dyDescent="0.15">
      <c r="G835">
        <v>816</v>
      </c>
      <c r="H835">
        <v>-38.434027757137628</v>
      </c>
      <c r="I835">
        <f t="shared" si="12"/>
        <v>1</v>
      </c>
    </row>
    <row r="836" spans="7:9" x14ac:dyDescent="0.15">
      <c r="G836">
        <v>817</v>
      </c>
      <c r="H836">
        <v>-72.486023158466011</v>
      </c>
      <c r="I836">
        <f t="shared" si="12"/>
        <v>1</v>
      </c>
    </row>
    <row r="837" spans="7:9" x14ac:dyDescent="0.15">
      <c r="G837">
        <v>818</v>
      </c>
      <c r="H837">
        <v>-46.924068454648122</v>
      </c>
      <c r="I837">
        <f t="shared" si="12"/>
        <v>1</v>
      </c>
    </row>
    <row r="838" spans="7:9" x14ac:dyDescent="0.15">
      <c r="G838">
        <v>819</v>
      </c>
      <c r="H838">
        <v>-12.764195204652196</v>
      </c>
      <c r="I838">
        <f t="shared" si="12"/>
        <v>1</v>
      </c>
    </row>
    <row r="839" spans="7:9" x14ac:dyDescent="0.15">
      <c r="G839">
        <v>820</v>
      </c>
      <c r="H839">
        <v>-158.87091597913974</v>
      </c>
      <c r="I839">
        <f t="shared" si="12"/>
        <v>1</v>
      </c>
    </row>
    <row r="840" spans="7:9" x14ac:dyDescent="0.15">
      <c r="G840">
        <v>821</v>
      </c>
      <c r="H840">
        <v>-223.03350755083397</v>
      </c>
      <c r="I840">
        <f t="shared" si="12"/>
        <v>1</v>
      </c>
    </row>
    <row r="841" spans="7:9" x14ac:dyDescent="0.15">
      <c r="G841">
        <v>822</v>
      </c>
      <c r="H841">
        <v>-96.212120089604909</v>
      </c>
      <c r="I841">
        <f t="shared" si="12"/>
        <v>1</v>
      </c>
    </row>
    <row r="842" spans="7:9" x14ac:dyDescent="0.15">
      <c r="G842">
        <v>823</v>
      </c>
      <c r="H842">
        <v>457.98806609868461</v>
      </c>
      <c r="I842">
        <f t="shared" si="12"/>
        <v>0</v>
      </c>
    </row>
    <row r="843" spans="7:9" x14ac:dyDescent="0.15">
      <c r="G843">
        <v>824</v>
      </c>
      <c r="H843">
        <v>95.286363639316221</v>
      </c>
      <c r="I843">
        <f t="shared" si="12"/>
        <v>0</v>
      </c>
    </row>
    <row r="844" spans="7:9" x14ac:dyDescent="0.15">
      <c r="G844">
        <v>825</v>
      </c>
      <c r="H844">
        <v>276.11103564218388</v>
      </c>
      <c r="I844">
        <f t="shared" si="12"/>
        <v>0</v>
      </c>
    </row>
    <row r="845" spans="7:9" x14ac:dyDescent="0.15">
      <c r="G845">
        <v>826</v>
      </c>
      <c r="H845">
        <v>537.92117436972046</v>
      </c>
      <c r="I845">
        <f t="shared" si="12"/>
        <v>0</v>
      </c>
    </row>
    <row r="846" spans="7:9" x14ac:dyDescent="0.15">
      <c r="G846">
        <v>827</v>
      </c>
      <c r="H846">
        <v>353.4837929504659</v>
      </c>
      <c r="I846">
        <f t="shared" si="12"/>
        <v>0</v>
      </c>
    </row>
    <row r="847" spans="7:9" x14ac:dyDescent="0.15">
      <c r="G847">
        <v>828</v>
      </c>
      <c r="H847">
        <v>-132.02646422990813</v>
      </c>
      <c r="I847">
        <f t="shared" si="12"/>
        <v>1</v>
      </c>
    </row>
    <row r="848" spans="7:9" x14ac:dyDescent="0.15">
      <c r="G848">
        <v>829</v>
      </c>
      <c r="H848">
        <v>400.51361072595347</v>
      </c>
      <c r="I848">
        <f t="shared" si="12"/>
        <v>0</v>
      </c>
    </row>
    <row r="849" spans="7:9" x14ac:dyDescent="0.15">
      <c r="G849">
        <v>830</v>
      </c>
      <c r="H849">
        <v>128.00993424731291</v>
      </c>
      <c r="I849">
        <f t="shared" si="12"/>
        <v>0</v>
      </c>
    </row>
    <row r="850" spans="7:9" x14ac:dyDescent="0.15">
      <c r="G850">
        <v>831</v>
      </c>
      <c r="H850">
        <v>-194.42649315284689</v>
      </c>
      <c r="I850">
        <f t="shared" si="12"/>
        <v>1</v>
      </c>
    </row>
    <row r="851" spans="7:9" x14ac:dyDescent="0.15">
      <c r="G851">
        <v>832</v>
      </c>
      <c r="H851">
        <v>-73.476463562297667</v>
      </c>
      <c r="I851">
        <f t="shared" si="12"/>
        <v>1</v>
      </c>
    </row>
    <row r="852" spans="7:9" x14ac:dyDescent="0.15">
      <c r="G852">
        <v>833</v>
      </c>
      <c r="H852">
        <v>-51.695468253242453</v>
      </c>
      <c r="I852">
        <f t="shared" si="12"/>
        <v>1</v>
      </c>
    </row>
    <row r="853" spans="7:9" x14ac:dyDescent="0.15">
      <c r="G853">
        <v>834</v>
      </c>
      <c r="H853">
        <v>-61.630050945817516</v>
      </c>
      <c r="I853">
        <f t="shared" ref="I853:I916" si="13">IF(H853&lt;0,1,0)</f>
        <v>1</v>
      </c>
    </row>
    <row r="854" spans="7:9" x14ac:dyDescent="0.15">
      <c r="G854">
        <v>835</v>
      </c>
      <c r="H854">
        <v>-94.108469248890188</v>
      </c>
      <c r="I854">
        <f t="shared" si="13"/>
        <v>1</v>
      </c>
    </row>
    <row r="855" spans="7:9" x14ac:dyDescent="0.15">
      <c r="G855">
        <v>836</v>
      </c>
      <c r="H855">
        <v>-180.08186456277366</v>
      </c>
      <c r="I855">
        <f t="shared" si="13"/>
        <v>1</v>
      </c>
    </row>
    <row r="856" spans="7:9" x14ac:dyDescent="0.15">
      <c r="G856">
        <v>837</v>
      </c>
      <c r="H856">
        <v>-206.27647075617131</v>
      </c>
      <c r="I856">
        <f t="shared" si="13"/>
        <v>1</v>
      </c>
    </row>
    <row r="857" spans="7:9" x14ac:dyDescent="0.15">
      <c r="G857">
        <v>838</v>
      </c>
      <c r="H857">
        <v>-184.627400276298</v>
      </c>
      <c r="I857">
        <f t="shared" si="13"/>
        <v>1</v>
      </c>
    </row>
    <row r="858" spans="7:9" x14ac:dyDescent="0.15">
      <c r="G858">
        <v>839</v>
      </c>
      <c r="H858">
        <v>232.54418683558899</v>
      </c>
      <c r="I858">
        <f t="shared" si="13"/>
        <v>0</v>
      </c>
    </row>
    <row r="859" spans="7:9" x14ac:dyDescent="0.15">
      <c r="G859">
        <v>840</v>
      </c>
      <c r="H859">
        <v>232.37747734929593</v>
      </c>
      <c r="I859">
        <f t="shared" si="13"/>
        <v>0</v>
      </c>
    </row>
    <row r="860" spans="7:9" x14ac:dyDescent="0.15">
      <c r="G860">
        <v>841</v>
      </c>
      <c r="H860">
        <v>-102.80236688116028</v>
      </c>
      <c r="I860">
        <f t="shared" si="13"/>
        <v>1</v>
      </c>
    </row>
    <row r="861" spans="7:9" x14ac:dyDescent="0.15">
      <c r="G861">
        <v>842</v>
      </c>
      <c r="H861">
        <v>189.70115907452538</v>
      </c>
      <c r="I861">
        <f t="shared" si="13"/>
        <v>0</v>
      </c>
    </row>
    <row r="862" spans="7:9" x14ac:dyDescent="0.15">
      <c r="G862">
        <v>843</v>
      </c>
      <c r="H862">
        <v>229.34414851241641</v>
      </c>
      <c r="I862">
        <f t="shared" si="13"/>
        <v>0</v>
      </c>
    </row>
    <row r="863" spans="7:9" x14ac:dyDescent="0.15">
      <c r="G863">
        <v>844</v>
      </c>
      <c r="H863">
        <v>37.323704845312903</v>
      </c>
      <c r="I863">
        <f t="shared" si="13"/>
        <v>0</v>
      </c>
    </row>
    <row r="864" spans="7:9" x14ac:dyDescent="0.15">
      <c r="G864">
        <v>845</v>
      </c>
      <c r="H864">
        <v>3.1678431824157229</v>
      </c>
      <c r="I864">
        <f t="shared" si="13"/>
        <v>0</v>
      </c>
    </row>
    <row r="865" spans="7:9" x14ac:dyDescent="0.15">
      <c r="G865">
        <v>846</v>
      </c>
      <c r="H865">
        <v>527.85796093434067</v>
      </c>
      <c r="I865">
        <f t="shared" si="13"/>
        <v>0</v>
      </c>
    </row>
    <row r="866" spans="7:9" x14ac:dyDescent="0.15">
      <c r="G866">
        <v>847</v>
      </c>
      <c r="H866">
        <v>232.33030828718378</v>
      </c>
      <c r="I866">
        <f t="shared" si="13"/>
        <v>0</v>
      </c>
    </row>
    <row r="867" spans="7:9" x14ac:dyDescent="0.15">
      <c r="G867">
        <v>848</v>
      </c>
      <c r="H867">
        <v>97.200227007349852</v>
      </c>
      <c r="I867">
        <f t="shared" si="13"/>
        <v>0</v>
      </c>
    </row>
    <row r="868" spans="7:9" x14ac:dyDescent="0.15">
      <c r="G868">
        <v>849</v>
      </c>
      <c r="H868">
        <v>-76.855842143948138</v>
      </c>
      <c r="I868">
        <f t="shared" si="13"/>
        <v>1</v>
      </c>
    </row>
    <row r="869" spans="7:9" x14ac:dyDescent="0.15">
      <c r="G869">
        <v>850</v>
      </c>
      <c r="H869">
        <v>-156.62954332836841</v>
      </c>
      <c r="I869">
        <f t="shared" si="13"/>
        <v>1</v>
      </c>
    </row>
    <row r="870" spans="7:9" x14ac:dyDescent="0.15">
      <c r="G870">
        <v>851</v>
      </c>
      <c r="H870">
        <v>403.78632347100881</v>
      </c>
      <c r="I870">
        <f t="shared" si="13"/>
        <v>0</v>
      </c>
    </row>
    <row r="871" spans="7:9" x14ac:dyDescent="0.15">
      <c r="G871">
        <v>852</v>
      </c>
      <c r="H871">
        <v>-431.71865474829781</v>
      </c>
      <c r="I871">
        <f t="shared" si="13"/>
        <v>1</v>
      </c>
    </row>
    <row r="872" spans="7:9" x14ac:dyDescent="0.15">
      <c r="G872">
        <v>853</v>
      </c>
      <c r="H872">
        <v>556.9696300467125</v>
      </c>
      <c r="I872">
        <f t="shared" si="13"/>
        <v>0</v>
      </c>
    </row>
    <row r="873" spans="7:9" x14ac:dyDescent="0.15">
      <c r="G873">
        <v>854</v>
      </c>
      <c r="H873">
        <v>-227.36116092053376</v>
      </c>
      <c r="I873">
        <f t="shared" si="13"/>
        <v>1</v>
      </c>
    </row>
    <row r="874" spans="7:9" x14ac:dyDescent="0.15">
      <c r="G874">
        <v>855</v>
      </c>
      <c r="H874">
        <v>162.16522432116253</v>
      </c>
      <c r="I874">
        <f t="shared" si="13"/>
        <v>0</v>
      </c>
    </row>
    <row r="875" spans="7:9" x14ac:dyDescent="0.15">
      <c r="G875">
        <v>856</v>
      </c>
      <c r="H875">
        <v>108.80888219314548</v>
      </c>
      <c r="I875">
        <f t="shared" si="13"/>
        <v>0</v>
      </c>
    </row>
    <row r="876" spans="7:9" x14ac:dyDescent="0.15">
      <c r="G876">
        <v>857</v>
      </c>
      <c r="H876">
        <v>344.60972795860613</v>
      </c>
      <c r="I876">
        <f t="shared" si="13"/>
        <v>0</v>
      </c>
    </row>
    <row r="877" spans="7:9" x14ac:dyDescent="0.15">
      <c r="G877">
        <v>858</v>
      </c>
      <c r="H877">
        <v>-142.33193385721253</v>
      </c>
      <c r="I877">
        <f t="shared" si="13"/>
        <v>1</v>
      </c>
    </row>
    <row r="878" spans="7:9" x14ac:dyDescent="0.15">
      <c r="G878">
        <v>859</v>
      </c>
      <c r="H878">
        <v>155.13629464358115</v>
      </c>
      <c r="I878">
        <f t="shared" si="13"/>
        <v>0</v>
      </c>
    </row>
    <row r="879" spans="7:9" x14ac:dyDescent="0.15">
      <c r="G879">
        <v>860</v>
      </c>
      <c r="H879">
        <v>124.33850047729055</v>
      </c>
      <c r="I879">
        <f t="shared" si="13"/>
        <v>0</v>
      </c>
    </row>
    <row r="880" spans="7:9" x14ac:dyDescent="0.15">
      <c r="G880">
        <v>861</v>
      </c>
      <c r="H880">
        <v>-160.32223948122979</v>
      </c>
      <c r="I880">
        <f t="shared" si="13"/>
        <v>1</v>
      </c>
    </row>
    <row r="881" spans="7:9" x14ac:dyDescent="0.15">
      <c r="G881">
        <v>862</v>
      </c>
      <c r="H881">
        <v>291.97002341333564</v>
      </c>
      <c r="I881">
        <f t="shared" si="13"/>
        <v>0</v>
      </c>
    </row>
    <row r="882" spans="7:9" x14ac:dyDescent="0.15">
      <c r="G882">
        <v>863</v>
      </c>
      <c r="H882">
        <v>-30.252970628017245</v>
      </c>
      <c r="I882">
        <f t="shared" si="13"/>
        <v>1</v>
      </c>
    </row>
    <row r="883" spans="7:9" x14ac:dyDescent="0.15">
      <c r="G883">
        <v>864</v>
      </c>
      <c r="H883">
        <v>551.7448553537721</v>
      </c>
      <c r="I883">
        <f t="shared" si="13"/>
        <v>0</v>
      </c>
    </row>
    <row r="884" spans="7:9" x14ac:dyDescent="0.15">
      <c r="G884">
        <v>865</v>
      </c>
      <c r="H884">
        <v>-6.5245382593150296</v>
      </c>
      <c r="I884">
        <f t="shared" si="13"/>
        <v>1</v>
      </c>
    </row>
    <row r="885" spans="7:9" x14ac:dyDescent="0.15">
      <c r="G885">
        <v>866</v>
      </c>
      <c r="H885">
        <v>224.98043944600605</v>
      </c>
      <c r="I885">
        <f t="shared" si="13"/>
        <v>0</v>
      </c>
    </row>
    <row r="886" spans="7:9" x14ac:dyDescent="0.15">
      <c r="G886">
        <v>867</v>
      </c>
      <c r="H886">
        <v>-135.66693662103606</v>
      </c>
      <c r="I886">
        <f t="shared" si="13"/>
        <v>1</v>
      </c>
    </row>
    <row r="887" spans="7:9" x14ac:dyDescent="0.15">
      <c r="G887">
        <v>868</v>
      </c>
      <c r="H887">
        <v>359.71093438336402</v>
      </c>
      <c r="I887">
        <f t="shared" si="13"/>
        <v>0</v>
      </c>
    </row>
    <row r="888" spans="7:9" x14ac:dyDescent="0.15">
      <c r="G888">
        <v>869</v>
      </c>
      <c r="H888">
        <v>58.782239260786099</v>
      </c>
      <c r="I888">
        <f t="shared" si="13"/>
        <v>0</v>
      </c>
    </row>
    <row r="889" spans="7:9" x14ac:dyDescent="0.15">
      <c r="G889">
        <v>870</v>
      </c>
      <c r="H889">
        <v>360.95156619914758</v>
      </c>
      <c r="I889">
        <f t="shared" si="13"/>
        <v>0</v>
      </c>
    </row>
    <row r="890" spans="7:9" x14ac:dyDescent="0.15">
      <c r="G890">
        <v>871</v>
      </c>
      <c r="H890">
        <v>-49.608669737522874</v>
      </c>
      <c r="I890">
        <f t="shared" si="13"/>
        <v>1</v>
      </c>
    </row>
    <row r="891" spans="7:9" x14ac:dyDescent="0.15">
      <c r="G891">
        <v>872</v>
      </c>
      <c r="H891">
        <v>-117.65945658603424</v>
      </c>
      <c r="I891">
        <f t="shared" si="13"/>
        <v>1</v>
      </c>
    </row>
    <row r="892" spans="7:9" x14ac:dyDescent="0.15">
      <c r="G892">
        <v>873</v>
      </c>
      <c r="H892">
        <v>447.03074559104027</v>
      </c>
      <c r="I892">
        <f t="shared" si="13"/>
        <v>0</v>
      </c>
    </row>
    <row r="893" spans="7:9" x14ac:dyDescent="0.15">
      <c r="G893">
        <v>874</v>
      </c>
      <c r="H893">
        <v>-89.366130212462664</v>
      </c>
      <c r="I893">
        <f t="shared" si="13"/>
        <v>1</v>
      </c>
    </row>
    <row r="894" spans="7:9" x14ac:dyDescent="0.15">
      <c r="G894">
        <v>875</v>
      </c>
      <c r="H894">
        <v>144.85135284063421</v>
      </c>
      <c r="I894">
        <f t="shared" si="13"/>
        <v>0</v>
      </c>
    </row>
    <row r="895" spans="7:9" x14ac:dyDescent="0.15">
      <c r="G895">
        <v>876</v>
      </c>
      <c r="H895">
        <v>-153.21561091338555</v>
      </c>
      <c r="I895">
        <f t="shared" si="13"/>
        <v>1</v>
      </c>
    </row>
    <row r="896" spans="7:9" x14ac:dyDescent="0.15">
      <c r="G896">
        <v>877</v>
      </c>
      <c r="H896">
        <v>-48.822898133006746</v>
      </c>
      <c r="I896">
        <f t="shared" si="13"/>
        <v>1</v>
      </c>
    </row>
    <row r="897" spans="7:9" x14ac:dyDescent="0.15">
      <c r="G897">
        <v>878</v>
      </c>
      <c r="H897">
        <v>-300.14758501700703</v>
      </c>
      <c r="I897">
        <f t="shared" si="13"/>
        <v>1</v>
      </c>
    </row>
    <row r="898" spans="7:9" x14ac:dyDescent="0.15">
      <c r="G898">
        <v>879</v>
      </c>
      <c r="H898">
        <v>149.33648324901014</v>
      </c>
      <c r="I898">
        <f t="shared" si="13"/>
        <v>0</v>
      </c>
    </row>
    <row r="899" spans="7:9" x14ac:dyDescent="0.15">
      <c r="G899">
        <v>880</v>
      </c>
      <c r="H899">
        <v>-113.19712180341816</v>
      </c>
      <c r="I899">
        <f t="shared" si="13"/>
        <v>1</v>
      </c>
    </row>
    <row r="900" spans="7:9" x14ac:dyDescent="0.15">
      <c r="G900">
        <v>881</v>
      </c>
      <c r="H900">
        <v>-70.097468263138339</v>
      </c>
      <c r="I900">
        <f t="shared" si="13"/>
        <v>1</v>
      </c>
    </row>
    <row r="901" spans="7:9" x14ac:dyDescent="0.15">
      <c r="G901">
        <v>882</v>
      </c>
      <c r="H901">
        <v>-49.244071875772732</v>
      </c>
      <c r="I901">
        <f t="shared" si="13"/>
        <v>1</v>
      </c>
    </row>
    <row r="902" spans="7:9" x14ac:dyDescent="0.15">
      <c r="G902">
        <v>883</v>
      </c>
      <c r="H902">
        <v>148.8187802881414</v>
      </c>
      <c r="I902">
        <f t="shared" si="13"/>
        <v>0</v>
      </c>
    </row>
    <row r="903" spans="7:9" x14ac:dyDescent="0.15">
      <c r="G903">
        <v>884</v>
      </c>
      <c r="H903">
        <v>1.5884873245032622</v>
      </c>
      <c r="I903">
        <f t="shared" si="13"/>
        <v>0</v>
      </c>
    </row>
    <row r="904" spans="7:9" x14ac:dyDescent="0.15">
      <c r="G904">
        <v>885</v>
      </c>
      <c r="H904">
        <v>-425.30090293269672</v>
      </c>
      <c r="I904">
        <f t="shared" si="13"/>
        <v>1</v>
      </c>
    </row>
    <row r="905" spans="7:9" x14ac:dyDescent="0.15">
      <c r="G905">
        <v>886</v>
      </c>
      <c r="H905">
        <v>7.0469605917673732</v>
      </c>
      <c r="I905">
        <f t="shared" si="13"/>
        <v>0</v>
      </c>
    </row>
    <row r="906" spans="7:9" x14ac:dyDescent="0.15">
      <c r="G906">
        <v>887</v>
      </c>
      <c r="H906">
        <v>109.31202015023584</v>
      </c>
      <c r="I906">
        <f t="shared" si="13"/>
        <v>0</v>
      </c>
    </row>
    <row r="907" spans="7:9" x14ac:dyDescent="0.15">
      <c r="G907">
        <v>888</v>
      </c>
      <c r="H907">
        <v>131.36876714759273</v>
      </c>
      <c r="I907">
        <f t="shared" si="13"/>
        <v>0</v>
      </c>
    </row>
    <row r="908" spans="7:9" x14ac:dyDescent="0.15">
      <c r="G908">
        <v>889</v>
      </c>
      <c r="H908">
        <v>187.9648992451763</v>
      </c>
      <c r="I908">
        <f t="shared" si="13"/>
        <v>0</v>
      </c>
    </row>
    <row r="909" spans="7:9" x14ac:dyDescent="0.15">
      <c r="G909">
        <v>890</v>
      </c>
      <c r="H909">
        <v>-100.2222056563576</v>
      </c>
      <c r="I909">
        <f t="shared" si="13"/>
        <v>1</v>
      </c>
    </row>
    <row r="910" spans="7:9" x14ac:dyDescent="0.15">
      <c r="G910">
        <v>891</v>
      </c>
      <c r="H910">
        <v>-276.10659146846211</v>
      </c>
      <c r="I910">
        <f t="shared" si="13"/>
        <v>1</v>
      </c>
    </row>
    <row r="911" spans="7:9" x14ac:dyDescent="0.15">
      <c r="G911">
        <v>892</v>
      </c>
      <c r="H911">
        <v>238.63003045570824</v>
      </c>
      <c r="I911">
        <f t="shared" si="13"/>
        <v>0</v>
      </c>
    </row>
    <row r="912" spans="7:9" x14ac:dyDescent="0.15">
      <c r="G912">
        <v>893</v>
      </c>
      <c r="H912">
        <v>80.805227531772545</v>
      </c>
      <c r="I912">
        <f t="shared" si="13"/>
        <v>0</v>
      </c>
    </row>
    <row r="913" spans="7:9" x14ac:dyDescent="0.15">
      <c r="G913">
        <v>894</v>
      </c>
      <c r="H913">
        <v>566.34675797301588</v>
      </c>
      <c r="I913">
        <f t="shared" si="13"/>
        <v>0</v>
      </c>
    </row>
    <row r="914" spans="7:9" x14ac:dyDescent="0.15">
      <c r="G914">
        <v>895</v>
      </c>
      <c r="H914">
        <v>22.142618718939204</v>
      </c>
      <c r="I914">
        <f t="shared" si="13"/>
        <v>0</v>
      </c>
    </row>
    <row r="915" spans="7:9" x14ac:dyDescent="0.15">
      <c r="G915">
        <v>896</v>
      </c>
      <c r="H915">
        <v>258.79308615004874</v>
      </c>
      <c r="I915">
        <f t="shared" si="13"/>
        <v>0</v>
      </c>
    </row>
    <row r="916" spans="7:9" x14ac:dyDescent="0.15">
      <c r="G916">
        <v>897</v>
      </c>
      <c r="H916">
        <v>-70.771002885128908</v>
      </c>
      <c r="I916">
        <f t="shared" si="13"/>
        <v>1</v>
      </c>
    </row>
    <row r="917" spans="7:9" x14ac:dyDescent="0.15">
      <c r="G917">
        <v>898</v>
      </c>
      <c r="H917">
        <v>-239.26779609928525</v>
      </c>
      <c r="I917">
        <f t="shared" ref="I917:I980" si="14">IF(H917&lt;0,1,0)</f>
        <v>1</v>
      </c>
    </row>
    <row r="918" spans="7:9" x14ac:dyDescent="0.15">
      <c r="G918">
        <v>899</v>
      </c>
      <c r="H918">
        <v>169.84640287747408</v>
      </c>
      <c r="I918">
        <f t="shared" si="14"/>
        <v>0</v>
      </c>
    </row>
    <row r="919" spans="7:9" x14ac:dyDescent="0.15">
      <c r="G919">
        <v>900</v>
      </c>
      <c r="H919">
        <v>156.3020827345606</v>
      </c>
      <c r="I919">
        <f t="shared" si="14"/>
        <v>0</v>
      </c>
    </row>
    <row r="920" spans="7:9" x14ac:dyDescent="0.15">
      <c r="G920">
        <v>901</v>
      </c>
      <c r="H920">
        <v>-192.00566059910221</v>
      </c>
      <c r="I920">
        <f t="shared" si="14"/>
        <v>1</v>
      </c>
    </row>
    <row r="921" spans="7:9" x14ac:dyDescent="0.15">
      <c r="G921">
        <v>902</v>
      </c>
      <c r="H921">
        <v>-152.43251947467564</v>
      </c>
      <c r="I921">
        <f t="shared" si="14"/>
        <v>1</v>
      </c>
    </row>
    <row r="922" spans="7:9" x14ac:dyDescent="0.15">
      <c r="G922">
        <v>903</v>
      </c>
      <c r="H922">
        <v>127.73254820459488</v>
      </c>
      <c r="I922">
        <f t="shared" si="14"/>
        <v>0</v>
      </c>
    </row>
    <row r="923" spans="7:9" x14ac:dyDescent="0.15">
      <c r="G923">
        <v>904</v>
      </c>
      <c r="H923">
        <v>-19.70868997037239</v>
      </c>
      <c r="I923">
        <f t="shared" si="14"/>
        <v>1</v>
      </c>
    </row>
    <row r="924" spans="7:9" x14ac:dyDescent="0.15">
      <c r="G924">
        <v>905</v>
      </c>
      <c r="H924">
        <v>-232.84427184174336</v>
      </c>
      <c r="I924">
        <f t="shared" si="14"/>
        <v>1</v>
      </c>
    </row>
    <row r="925" spans="7:9" x14ac:dyDescent="0.15">
      <c r="G925">
        <v>906</v>
      </c>
      <c r="H925">
        <v>412.85037515516046</v>
      </c>
      <c r="I925">
        <f t="shared" si="14"/>
        <v>0</v>
      </c>
    </row>
    <row r="926" spans="7:9" x14ac:dyDescent="0.15">
      <c r="G926">
        <v>907</v>
      </c>
      <c r="H926">
        <v>-279.69599099332299</v>
      </c>
      <c r="I926">
        <f t="shared" si="14"/>
        <v>1</v>
      </c>
    </row>
    <row r="927" spans="7:9" x14ac:dyDescent="0.15">
      <c r="G927">
        <v>908</v>
      </c>
      <c r="H927">
        <v>-395.71199463812133</v>
      </c>
      <c r="I927">
        <f t="shared" si="14"/>
        <v>1</v>
      </c>
    </row>
    <row r="928" spans="7:9" x14ac:dyDescent="0.15">
      <c r="G928">
        <v>909</v>
      </c>
      <c r="H928">
        <v>-204.5914748481735</v>
      </c>
      <c r="I928">
        <f t="shared" si="14"/>
        <v>1</v>
      </c>
    </row>
    <row r="929" spans="7:9" x14ac:dyDescent="0.15">
      <c r="G929">
        <v>910</v>
      </c>
      <c r="H929">
        <v>78.810533842754012</v>
      </c>
      <c r="I929">
        <f t="shared" si="14"/>
        <v>0</v>
      </c>
    </row>
    <row r="930" spans="7:9" x14ac:dyDescent="0.15">
      <c r="G930">
        <v>911</v>
      </c>
      <c r="H930">
        <v>-93.620333700017127</v>
      </c>
      <c r="I930">
        <f t="shared" si="14"/>
        <v>1</v>
      </c>
    </row>
    <row r="931" spans="7:9" x14ac:dyDescent="0.15">
      <c r="G931">
        <v>912</v>
      </c>
      <c r="H931">
        <v>-298.26142872738382</v>
      </c>
      <c r="I931">
        <f t="shared" si="14"/>
        <v>1</v>
      </c>
    </row>
    <row r="932" spans="7:9" x14ac:dyDescent="0.15">
      <c r="G932">
        <v>913</v>
      </c>
      <c r="H932">
        <v>49.219369761126764</v>
      </c>
      <c r="I932">
        <f t="shared" si="14"/>
        <v>0</v>
      </c>
    </row>
    <row r="933" spans="7:9" x14ac:dyDescent="0.15">
      <c r="G933">
        <v>914</v>
      </c>
      <c r="H933">
        <v>27.645682475479475</v>
      </c>
      <c r="I933">
        <f t="shared" si="14"/>
        <v>0</v>
      </c>
    </row>
    <row r="934" spans="7:9" x14ac:dyDescent="0.15">
      <c r="G934">
        <v>915</v>
      </c>
      <c r="H934">
        <v>254.37871485490376</v>
      </c>
      <c r="I934">
        <f t="shared" si="14"/>
        <v>0</v>
      </c>
    </row>
    <row r="935" spans="7:9" x14ac:dyDescent="0.15">
      <c r="G935">
        <v>916</v>
      </c>
      <c r="H935">
        <v>-436.0327231737985</v>
      </c>
      <c r="I935">
        <f t="shared" si="14"/>
        <v>1</v>
      </c>
    </row>
    <row r="936" spans="7:9" x14ac:dyDescent="0.15">
      <c r="G936">
        <v>917</v>
      </c>
      <c r="H936">
        <v>207.98033949260574</v>
      </c>
      <c r="I936">
        <f t="shared" si="14"/>
        <v>0</v>
      </c>
    </row>
    <row r="937" spans="7:9" x14ac:dyDescent="0.15">
      <c r="G937">
        <v>918</v>
      </c>
      <c r="H937">
        <v>130.56040613110412</v>
      </c>
      <c r="I937">
        <f t="shared" si="14"/>
        <v>0</v>
      </c>
    </row>
    <row r="938" spans="7:9" x14ac:dyDescent="0.15">
      <c r="G938">
        <v>919</v>
      </c>
      <c r="H938">
        <v>412.63162051051239</v>
      </c>
      <c r="I938">
        <f t="shared" si="14"/>
        <v>0</v>
      </c>
    </row>
    <row r="939" spans="7:9" x14ac:dyDescent="0.15">
      <c r="G939">
        <v>920</v>
      </c>
      <c r="H939">
        <v>-33.88798326058712</v>
      </c>
      <c r="I939">
        <f t="shared" si="14"/>
        <v>1</v>
      </c>
    </row>
    <row r="940" spans="7:9" x14ac:dyDescent="0.15">
      <c r="G940">
        <v>921</v>
      </c>
      <c r="H940">
        <v>29.349272384673505</v>
      </c>
      <c r="I940">
        <f t="shared" si="14"/>
        <v>0</v>
      </c>
    </row>
    <row r="941" spans="7:9" x14ac:dyDescent="0.15">
      <c r="G941">
        <v>922</v>
      </c>
      <c r="H941">
        <v>-118.31076401587295</v>
      </c>
      <c r="I941">
        <f t="shared" si="14"/>
        <v>1</v>
      </c>
    </row>
    <row r="942" spans="7:9" x14ac:dyDescent="0.15">
      <c r="G942">
        <v>923</v>
      </c>
      <c r="H942">
        <v>766.69638667930337</v>
      </c>
      <c r="I942">
        <f t="shared" si="14"/>
        <v>0</v>
      </c>
    </row>
    <row r="943" spans="7:9" x14ac:dyDescent="0.15">
      <c r="G943">
        <v>924</v>
      </c>
      <c r="H943">
        <v>37.573509122921067</v>
      </c>
      <c r="I943">
        <f t="shared" si="14"/>
        <v>0</v>
      </c>
    </row>
    <row r="944" spans="7:9" x14ac:dyDescent="0.15">
      <c r="G944">
        <v>925</v>
      </c>
      <c r="H944">
        <v>176.18624603618417</v>
      </c>
      <c r="I944">
        <f t="shared" si="14"/>
        <v>0</v>
      </c>
    </row>
    <row r="945" spans="7:9" x14ac:dyDescent="0.15">
      <c r="G945">
        <v>926</v>
      </c>
      <c r="H945">
        <v>73.025717735487319</v>
      </c>
      <c r="I945">
        <f t="shared" si="14"/>
        <v>0</v>
      </c>
    </row>
    <row r="946" spans="7:9" x14ac:dyDescent="0.15">
      <c r="G946">
        <v>927</v>
      </c>
      <c r="H946">
        <v>244.32510692484422</v>
      </c>
      <c r="I946">
        <f t="shared" si="14"/>
        <v>0</v>
      </c>
    </row>
    <row r="947" spans="7:9" x14ac:dyDescent="0.15">
      <c r="G947">
        <v>928</v>
      </c>
      <c r="H947">
        <v>119.85165063254021</v>
      </c>
      <c r="I947">
        <f t="shared" si="14"/>
        <v>0</v>
      </c>
    </row>
    <row r="948" spans="7:9" x14ac:dyDescent="0.15">
      <c r="G948">
        <v>929</v>
      </c>
      <c r="H948">
        <v>-86.533612496494499</v>
      </c>
      <c r="I948">
        <f t="shared" si="14"/>
        <v>1</v>
      </c>
    </row>
    <row r="949" spans="7:9" x14ac:dyDescent="0.15">
      <c r="G949">
        <v>930</v>
      </c>
      <c r="H949">
        <v>252.58562703612739</v>
      </c>
      <c r="I949">
        <f t="shared" si="14"/>
        <v>0</v>
      </c>
    </row>
    <row r="950" spans="7:9" x14ac:dyDescent="0.15">
      <c r="G950">
        <v>931</v>
      </c>
      <c r="H950">
        <v>-22.527635216039307</v>
      </c>
      <c r="I950">
        <f t="shared" si="14"/>
        <v>1</v>
      </c>
    </row>
    <row r="951" spans="7:9" x14ac:dyDescent="0.15">
      <c r="G951">
        <v>932</v>
      </c>
      <c r="H951">
        <v>-30.934386459710183</v>
      </c>
      <c r="I951">
        <f t="shared" si="14"/>
        <v>1</v>
      </c>
    </row>
    <row r="952" spans="7:9" x14ac:dyDescent="0.15">
      <c r="G952">
        <v>933</v>
      </c>
      <c r="H952">
        <v>201.6412256779621</v>
      </c>
      <c r="I952">
        <f t="shared" si="14"/>
        <v>0</v>
      </c>
    </row>
    <row r="953" spans="7:9" x14ac:dyDescent="0.15">
      <c r="G953">
        <v>934</v>
      </c>
      <c r="H953">
        <v>321.69854923432894</v>
      </c>
      <c r="I953">
        <f t="shared" si="14"/>
        <v>0</v>
      </c>
    </row>
    <row r="954" spans="7:9" x14ac:dyDescent="0.15">
      <c r="G954">
        <v>935</v>
      </c>
      <c r="H954">
        <v>-73.511864106294723</v>
      </c>
      <c r="I954">
        <f t="shared" si="14"/>
        <v>1</v>
      </c>
    </row>
    <row r="955" spans="7:9" x14ac:dyDescent="0.15">
      <c r="G955">
        <v>936</v>
      </c>
      <c r="H955">
        <v>179.21222885352287</v>
      </c>
      <c r="I955">
        <f t="shared" si="14"/>
        <v>0</v>
      </c>
    </row>
    <row r="956" spans="7:9" x14ac:dyDescent="0.15">
      <c r="G956">
        <v>937</v>
      </c>
      <c r="H956">
        <v>-65.716214018097745</v>
      </c>
      <c r="I956">
        <f t="shared" si="14"/>
        <v>1</v>
      </c>
    </row>
    <row r="957" spans="7:9" x14ac:dyDescent="0.15">
      <c r="G957">
        <v>938</v>
      </c>
      <c r="H957">
        <v>-166.09223133679032</v>
      </c>
      <c r="I957">
        <f t="shared" si="14"/>
        <v>1</v>
      </c>
    </row>
    <row r="958" spans="7:9" x14ac:dyDescent="0.15">
      <c r="G958">
        <v>939</v>
      </c>
      <c r="H958">
        <v>101.43205261278108</v>
      </c>
      <c r="I958">
        <f t="shared" si="14"/>
        <v>0</v>
      </c>
    </row>
    <row r="959" spans="7:9" x14ac:dyDescent="0.15">
      <c r="G959">
        <v>940</v>
      </c>
      <c r="H959">
        <v>105.31166667142369</v>
      </c>
      <c r="I959">
        <f t="shared" si="14"/>
        <v>0</v>
      </c>
    </row>
    <row r="960" spans="7:9" x14ac:dyDescent="0.15">
      <c r="G960">
        <v>941</v>
      </c>
      <c r="H960">
        <v>372.49288352533421</v>
      </c>
      <c r="I960">
        <f t="shared" si="14"/>
        <v>0</v>
      </c>
    </row>
    <row r="961" spans="7:9" x14ac:dyDescent="0.15">
      <c r="G961">
        <v>942</v>
      </c>
      <c r="H961">
        <v>238.88054505418745</v>
      </c>
      <c r="I961">
        <f t="shared" si="14"/>
        <v>0</v>
      </c>
    </row>
    <row r="962" spans="7:9" x14ac:dyDescent="0.15">
      <c r="G962">
        <v>943</v>
      </c>
      <c r="H962">
        <v>84.356360247687874</v>
      </c>
      <c r="I962">
        <f t="shared" si="14"/>
        <v>0</v>
      </c>
    </row>
    <row r="963" spans="7:9" x14ac:dyDescent="0.15">
      <c r="G963">
        <v>944</v>
      </c>
      <c r="H963">
        <v>75.605078030101936</v>
      </c>
      <c r="I963">
        <f t="shared" si="14"/>
        <v>0</v>
      </c>
    </row>
    <row r="964" spans="7:9" x14ac:dyDescent="0.15">
      <c r="G964">
        <v>945</v>
      </c>
      <c r="H964">
        <v>162.89707982935906</v>
      </c>
      <c r="I964">
        <f t="shared" si="14"/>
        <v>0</v>
      </c>
    </row>
    <row r="965" spans="7:9" x14ac:dyDescent="0.15">
      <c r="G965">
        <v>946</v>
      </c>
      <c r="H965">
        <v>48.140422171802172</v>
      </c>
      <c r="I965">
        <f t="shared" si="14"/>
        <v>0</v>
      </c>
    </row>
    <row r="966" spans="7:9" x14ac:dyDescent="0.15">
      <c r="G966">
        <v>947</v>
      </c>
      <c r="H966">
        <v>215.1500713510265</v>
      </c>
      <c r="I966">
        <f t="shared" si="14"/>
        <v>0</v>
      </c>
    </row>
    <row r="967" spans="7:9" x14ac:dyDescent="0.15">
      <c r="G967">
        <v>948</v>
      </c>
      <c r="H967">
        <v>-292.4453322490848</v>
      </c>
      <c r="I967">
        <f t="shared" si="14"/>
        <v>1</v>
      </c>
    </row>
    <row r="968" spans="7:9" x14ac:dyDescent="0.15">
      <c r="G968">
        <v>949</v>
      </c>
      <c r="H968">
        <v>149.58930791083742</v>
      </c>
      <c r="I968">
        <f t="shared" si="14"/>
        <v>0</v>
      </c>
    </row>
    <row r="969" spans="7:9" x14ac:dyDescent="0.15">
      <c r="G969">
        <v>950</v>
      </c>
      <c r="H969">
        <v>-226.28003760942346</v>
      </c>
      <c r="I969">
        <f t="shared" si="14"/>
        <v>1</v>
      </c>
    </row>
    <row r="970" spans="7:9" x14ac:dyDescent="0.15">
      <c r="G970">
        <v>951</v>
      </c>
      <c r="H970">
        <v>66.508648180009459</v>
      </c>
      <c r="I970">
        <f t="shared" si="14"/>
        <v>0</v>
      </c>
    </row>
    <row r="971" spans="7:9" x14ac:dyDescent="0.15">
      <c r="G971">
        <v>952</v>
      </c>
      <c r="H971">
        <v>-284.58444306926856</v>
      </c>
      <c r="I971">
        <f t="shared" si="14"/>
        <v>1</v>
      </c>
    </row>
    <row r="972" spans="7:9" x14ac:dyDescent="0.15">
      <c r="G972">
        <v>953</v>
      </c>
      <c r="H972">
        <v>25.644319485092836</v>
      </c>
      <c r="I972">
        <f t="shared" si="14"/>
        <v>0</v>
      </c>
    </row>
    <row r="973" spans="7:9" x14ac:dyDescent="0.15">
      <c r="G973">
        <v>954</v>
      </c>
      <c r="H973">
        <v>581.15781770075705</v>
      </c>
      <c r="I973">
        <f t="shared" si="14"/>
        <v>0</v>
      </c>
    </row>
    <row r="974" spans="7:9" x14ac:dyDescent="0.15">
      <c r="G974">
        <v>955</v>
      </c>
      <c r="H974">
        <v>-256.43912025630044</v>
      </c>
      <c r="I974">
        <f t="shared" si="14"/>
        <v>1</v>
      </c>
    </row>
    <row r="975" spans="7:9" x14ac:dyDescent="0.15">
      <c r="G975">
        <v>956</v>
      </c>
      <c r="H975">
        <v>-310.35628332118341</v>
      </c>
      <c r="I975">
        <f t="shared" si="14"/>
        <v>1</v>
      </c>
    </row>
    <row r="976" spans="7:9" x14ac:dyDescent="0.15">
      <c r="G976">
        <v>957</v>
      </c>
      <c r="H976">
        <v>-17.052838398658238</v>
      </c>
      <c r="I976">
        <f t="shared" si="14"/>
        <v>1</v>
      </c>
    </row>
    <row r="977" spans="7:9" x14ac:dyDescent="0.15">
      <c r="G977">
        <v>958</v>
      </c>
      <c r="H977">
        <v>-104.38348192174375</v>
      </c>
      <c r="I977">
        <f t="shared" si="14"/>
        <v>1</v>
      </c>
    </row>
    <row r="978" spans="7:9" x14ac:dyDescent="0.15">
      <c r="G978">
        <v>959</v>
      </c>
      <c r="H978">
        <v>639.23321310227539</v>
      </c>
      <c r="I978">
        <f t="shared" si="14"/>
        <v>0</v>
      </c>
    </row>
    <row r="979" spans="7:9" x14ac:dyDescent="0.15">
      <c r="G979">
        <v>960</v>
      </c>
      <c r="H979">
        <v>322.44918131218873</v>
      </c>
      <c r="I979">
        <f t="shared" si="14"/>
        <v>0</v>
      </c>
    </row>
    <row r="980" spans="7:9" x14ac:dyDescent="0.15">
      <c r="G980">
        <v>961</v>
      </c>
      <c r="H980">
        <v>-34.521995136727256</v>
      </c>
      <c r="I980">
        <f t="shared" si="14"/>
        <v>1</v>
      </c>
    </row>
    <row r="981" spans="7:9" x14ac:dyDescent="0.15">
      <c r="G981">
        <v>962</v>
      </c>
      <c r="H981">
        <v>35.129135590228373</v>
      </c>
      <c r="I981">
        <f t="shared" ref="I981:I1044" si="15">IF(H981&lt;0,1,0)</f>
        <v>0</v>
      </c>
    </row>
    <row r="982" spans="7:9" x14ac:dyDescent="0.15">
      <c r="G982">
        <v>963</v>
      </c>
      <c r="H982">
        <v>373.94678575072936</v>
      </c>
      <c r="I982">
        <f t="shared" si="15"/>
        <v>0</v>
      </c>
    </row>
    <row r="983" spans="7:9" x14ac:dyDescent="0.15">
      <c r="G983">
        <v>964</v>
      </c>
      <c r="H983">
        <v>-141.3538800490274</v>
      </c>
      <c r="I983">
        <f t="shared" si="15"/>
        <v>1</v>
      </c>
    </row>
    <row r="984" spans="7:9" x14ac:dyDescent="0.15">
      <c r="G984">
        <v>965</v>
      </c>
      <c r="H984">
        <v>-44.593343629311832</v>
      </c>
      <c r="I984">
        <f t="shared" si="15"/>
        <v>1</v>
      </c>
    </row>
    <row r="985" spans="7:9" x14ac:dyDescent="0.15">
      <c r="G985">
        <v>966</v>
      </c>
      <c r="H985">
        <v>224.01876248608806</v>
      </c>
      <c r="I985">
        <f t="shared" si="15"/>
        <v>0</v>
      </c>
    </row>
    <row r="986" spans="7:9" x14ac:dyDescent="0.15">
      <c r="G986">
        <v>967</v>
      </c>
      <c r="H986">
        <v>-110.56982733953541</v>
      </c>
      <c r="I986">
        <f t="shared" si="15"/>
        <v>1</v>
      </c>
    </row>
    <row r="987" spans="7:9" x14ac:dyDescent="0.15">
      <c r="G987">
        <v>968</v>
      </c>
      <c r="H987">
        <v>246.86120935456734</v>
      </c>
      <c r="I987">
        <f t="shared" si="15"/>
        <v>0</v>
      </c>
    </row>
    <row r="988" spans="7:9" x14ac:dyDescent="0.15">
      <c r="G988">
        <v>969</v>
      </c>
      <c r="H988">
        <v>-6.4679458933089506</v>
      </c>
      <c r="I988">
        <f t="shared" si="15"/>
        <v>1</v>
      </c>
    </row>
    <row r="989" spans="7:9" x14ac:dyDescent="0.15">
      <c r="G989">
        <v>970</v>
      </c>
      <c r="H989">
        <v>-73.082514335944566</v>
      </c>
      <c r="I989">
        <f t="shared" si="15"/>
        <v>1</v>
      </c>
    </row>
    <row r="990" spans="7:9" x14ac:dyDescent="0.15">
      <c r="G990">
        <v>971</v>
      </c>
      <c r="H990">
        <v>205.20891459587077</v>
      </c>
      <c r="I990">
        <f t="shared" si="15"/>
        <v>0</v>
      </c>
    </row>
    <row r="991" spans="7:9" x14ac:dyDescent="0.15">
      <c r="G991">
        <v>972</v>
      </c>
      <c r="H991">
        <v>-31.152227789948398</v>
      </c>
      <c r="I991">
        <f t="shared" si="15"/>
        <v>1</v>
      </c>
    </row>
    <row r="992" spans="7:9" x14ac:dyDescent="0.15">
      <c r="G992">
        <v>973</v>
      </c>
      <c r="H992">
        <v>367.5614791300772</v>
      </c>
      <c r="I992">
        <f t="shared" si="15"/>
        <v>0</v>
      </c>
    </row>
    <row r="993" spans="7:9" x14ac:dyDescent="0.15">
      <c r="G993">
        <v>974</v>
      </c>
      <c r="H993">
        <v>-128.07001299220087</v>
      </c>
      <c r="I993">
        <f t="shared" si="15"/>
        <v>1</v>
      </c>
    </row>
    <row r="994" spans="7:9" x14ac:dyDescent="0.15">
      <c r="G994">
        <v>975</v>
      </c>
      <c r="H994">
        <v>386.15072072924073</v>
      </c>
      <c r="I994">
        <f t="shared" si="15"/>
        <v>0</v>
      </c>
    </row>
    <row r="995" spans="7:9" x14ac:dyDescent="0.15">
      <c r="G995">
        <v>976</v>
      </c>
      <c r="H995">
        <v>6.6097371339472204</v>
      </c>
      <c r="I995">
        <f t="shared" si="15"/>
        <v>0</v>
      </c>
    </row>
    <row r="996" spans="7:9" x14ac:dyDescent="0.15">
      <c r="G996">
        <v>977</v>
      </c>
      <c r="H996">
        <v>720.59823837452575</v>
      </c>
      <c r="I996">
        <f t="shared" si="15"/>
        <v>0</v>
      </c>
    </row>
    <row r="997" spans="7:9" x14ac:dyDescent="0.15">
      <c r="G997">
        <v>978</v>
      </c>
      <c r="H997">
        <v>-110.74633124107605</v>
      </c>
      <c r="I997">
        <f t="shared" si="15"/>
        <v>1</v>
      </c>
    </row>
    <row r="998" spans="7:9" x14ac:dyDescent="0.15">
      <c r="G998">
        <v>979</v>
      </c>
      <c r="H998">
        <v>295.58662616315235</v>
      </c>
      <c r="I998">
        <f t="shared" si="15"/>
        <v>0</v>
      </c>
    </row>
    <row r="999" spans="7:9" x14ac:dyDescent="0.15">
      <c r="G999">
        <v>980</v>
      </c>
      <c r="H999">
        <v>36.36193109218847</v>
      </c>
      <c r="I999">
        <f t="shared" si="15"/>
        <v>0</v>
      </c>
    </row>
    <row r="1000" spans="7:9" x14ac:dyDescent="0.15">
      <c r="G1000">
        <v>981</v>
      </c>
      <c r="H1000">
        <v>164.91856380719292</v>
      </c>
      <c r="I1000">
        <f t="shared" si="15"/>
        <v>0</v>
      </c>
    </row>
    <row r="1001" spans="7:9" x14ac:dyDescent="0.15">
      <c r="G1001">
        <v>982</v>
      </c>
      <c r="H1001">
        <v>-84.114864133548352</v>
      </c>
      <c r="I1001">
        <f t="shared" si="15"/>
        <v>1</v>
      </c>
    </row>
    <row r="1002" spans="7:9" x14ac:dyDescent="0.15">
      <c r="G1002">
        <v>983</v>
      </c>
      <c r="H1002">
        <v>225.35788320300179</v>
      </c>
      <c r="I1002">
        <f t="shared" si="15"/>
        <v>0</v>
      </c>
    </row>
    <row r="1003" spans="7:9" x14ac:dyDescent="0.15">
      <c r="G1003">
        <v>984</v>
      </c>
      <c r="H1003">
        <v>-155.49403868027824</v>
      </c>
      <c r="I1003">
        <f t="shared" si="15"/>
        <v>1</v>
      </c>
    </row>
    <row r="1004" spans="7:9" x14ac:dyDescent="0.15">
      <c r="G1004">
        <v>985</v>
      </c>
      <c r="H1004">
        <v>-159.4195649646644</v>
      </c>
      <c r="I1004">
        <f t="shared" si="15"/>
        <v>1</v>
      </c>
    </row>
    <row r="1005" spans="7:9" x14ac:dyDescent="0.15">
      <c r="G1005">
        <v>986</v>
      </c>
      <c r="H1005">
        <v>398.06477595780188</v>
      </c>
      <c r="I1005">
        <f t="shared" si="15"/>
        <v>0</v>
      </c>
    </row>
    <row r="1006" spans="7:9" x14ac:dyDescent="0.15">
      <c r="G1006">
        <v>987</v>
      </c>
      <c r="H1006">
        <v>-202.44795003139265</v>
      </c>
      <c r="I1006">
        <f t="shared" si="15"/>
        <v>1</v>
      </c>
    </row>
    <row r="1007" spans="7:9" x14ac:dyDescent="0.15">
      <c r="G1007">
        <v>988</v>
      </c>
      <c r="H1007">
        <v>177.51009600501715</v>
      </c>
      <c r="I1007">
        <f t="shared" si="15"/>
        <v>0</v>
      </c>
    </row>
    <row r="1008" spans="7:9" x14ac:dyDescent="0.15">
      <c r="G1008">
        <v>989</v>
      </c>
      <c r="H1008">
        <v>125.83223375049663</v>
      </c>
      <c r="I1008">
        <f t="shared" si="15"/>
        <v>0</v>
      </c>
    </row>
    <row r="1009" spans="7:9" x14ac:dyDescent="0.15">
      <c r="G1009">
        <v>990</v>
      </c>
      <c r="H1009">
        <v>35.543760097780215</v>
      </c>
      <c r="I1009">
        <f t="shared" si="15"/>
        <v>0</v>
      </c>
    </row>
    <row r="1010" spans="7:9" x14ac:dyDescent="0.15">
      <c r="G1010">
        <v>991</v>
      </c>
      <c r="H1010">
        <v>-109.05166017113524</v>
      </c>
      <c r="I1010">
        <f t="shared" si="15"/>
        <v>1</v>
      </c>
    </row>
    <row r="1011" spans="7:9" x14ac:dyDescent="0.15">
      <c r="G1011">
        <v>992</v>
      </c>
      <c r="H1011">
        <v>303.30681218250874</v>
      </c>
      <c r="I1011">
        <f t="shared" si="15"/>
        <v>0</v>
      </c>
    </row>
    <row r="1012" spans="7:9" x14ac:dyDescent="0.15">
      <c r="G1012">
        <v>993</v>
      </c>
      <c r="H1012">
        <v>-212.92693920636444</v>
      </c>
      <c r="I1012">
        <f t="shared" si="15"/>
        <v>1</v>
      </c>
    </row>
    <row r="1013" spans="7:9" x14ac:dyDescent="0.15">
      <c r="G1013">
        <v>994</v>
      </c>
      <c r="H1013">
        <v>-47.905963253603346</v>
      </c>
      <c r="I1013">
        <f t="shared" si="15"/>
        <v>1</v>
      </c>
    </row>
    <row r="1014" spans="7:9" x14ac:dyDescent="0.15">
      <c r="G1014">
        <v>995</v>
      </c>
      <c r="H1014">
        <v>-131.19366286203143</v>
      </c>
      <c r="I1014">
        <f t="shared" si="15"/>
        <v>1</v>
      </c>
    </row>
    <row r="1015" spans="7:9" x14ac:dyDescent="0.15">
      <c r="G1015">
        <v>996</v>
      </c>
      <c r="H1015">
        <v>424.00613448427254</v>
      </c>
      <c r="I1015">
        <f t="shared" si="15"/>
        <v>0</v>
      </c>
    </row>
    <row r="1016" spans="7:9" x14ac:dyDescent="0.15">
      <c r="G1016">
        <v>997</v>
      </c>
      <c r="H1016">
        <v>-98.06814976048193</v>
      </c>
      <c r="I1016">
        <f t="shared" si="15"/>
        <v>1</v>
      </c>
    </row>
    <row r="1017" spans="7:9" x14ac:dyDescent="0.15">
      <c r="G1017">
        <v>998</v>
      </c>
      <c r="H1017">
        <v>260.65446696684501</v>
      </c>
      <c r="I1017">
        <f t="shared" si="15"/>
        <v>0</v>
      </c>
    </row>
    <row r="1018" spans="7:9" x14ac:dyDescent="0.15">
      <c r="G1018">
        <v>999</v>
      </c>
      <c r="H1018">
        <v>351.11688897439552</v>
      </c>
      <c r="I1018">
        <f t="shared" si="15"/>
        <v>0</v>
      </c>
    </row>
    <row r="1019" spans="7:9" x14ac:dyDescent="0.15">
      <c r="G1019">
        <v>1000</v>
      </c>
      <c r="H1019">
        <v>-61.144864621748226</v>
      </c>
      <c r="I1019">
        <f t="shared" si="15"/>
        <v>1</v>
      </c>
    </row>
    <row r="1020" spans="7:9" x14ac:dyDescent="0.15">
      <c r="G1020">
        <v>1001</v>
      </c>
      <c r="H1020">
        <v>47.377502298559648</v>
      </c>
      <c r="I1020">
        <f t="shared" si="15"/>
        <v>0</v>
      </c>
    </row>
    <row r="1021" spans="7:9" x14ac:dyDescent="0.15">
      <c r="G1021">
        <v>1002</v>
      </c>
      <c r="H1021">
        <v>216.98601205197315</v>
      </c>
      <c r="I1021">
        <f t="shared" si="15"/>
        <v>0</v>
      </c>
    </row>
    <row r="1022" spans="7:9" x14ac:dyDescent="0.15">
      <c r="G1022">
        <v>1003</v>
      </c>
      <c r="H1022">
        <v>-68.796506838270105</v>
      </c>
      <c r="I1022">
        <f t="shared" si="15"/>
        <v>1</v>
      </c>
    </row>
    <row r="1023" spans="7:9" x14ac:dyDescent="0.15">
      <c r="G1023">
        <v>1004</v>
      </c>
      <c r="H1023">
        <v>402.18329560252164</v>
      </c>
      <c r="I1023">
        <f t="shared" si="15"/>
        <v>0</v>
      </c>
    </row>
    <row r="1024" spans="7:9" x14ac:dyDescent="0.15">
      <c r="G1024">
        <v>1005</v>
      </c>
      <c r="H1024">
        <v>556.46339029294813</v>
      </c>
      <c r="I1024">
        <f t="shared" si="15"/>
        <v>0</v>
      </c>
    </row>
    <row r="1025" spans="7:9" x14ac:dyDescent="0.15">
      <c r="G1025">
        <v>1006</v>
      </c>
      <c r="H1025">
        <v>-372.83805360313204</v>
      </c>
      <c r="I1025">
        <f t="shared" si="15"/>
        <v>1</v>
      </c>
    </row>
    <row r="1026" spans="7:9" x14ac:dyDescent="0.15">
      <c r="G1026">
        <v>1007</v>
      </c>
      <c r="H1026">
        <v>209.5364415152971</v>
      </c>
      <c r="I1026">
        <f t="shared" si="15"/>
        <v>0</v>
      </c>
    </row>
    <row r="1027" spans="7:9" x14ac:dyDescent="0.15">
      <c r="G1027">
        <v>1008</v>
      </c>
      <c r="H1027">
        <v>-143.88655029584737</v>
      </c>
      <c r="I1027">
        <f t="shared" si="15"/>
        <v>1</v>
      </c>
    </row>
    <row r="1028" spans="7:9" x14ac:dyDescent="0.15">
      <c r="G1028">
        <v>1009</v>
      </c>
      <c r="H1028">
        <v>-281.78096321996406</v>
      </c>
      <c r="I1028">
        <f t="shared" si="15"/>
        <v>1</v>
      </c>
    </row>
    <row r="1029" spans="7:9" x14ac:dyDescent="0.15">
      <c r="G1029">
        <v>1010</v>
      </c>
      <c r="H1029">
        <v>108.02322300379765</v>
      </c>
      <c r="I1029">
        <f t="shared" si="15"/>
        <v>0</v>
      </c>
    </row>
    <row r="1030" spans="7:9" x14ac:dyDescent="0.15">
      <c r="G1030">
        <v>1011</v>
      </c>
      <c r="H1030">
        <v>-310.91528518403675</v>
      </c>
      <c r="I1030">
        <f t="shared" si="15"/>
        <v>1</v>
      </c>
    </row>
    <row r="1031" spans="7:9" x14ac:dyDescent="0.15">
      <c r="G1031">
        <v>1012</v>
      </c>
      <c r="H1031">
        <v>145.57778803674512</v>
      </c>
      <c r="I1031">
        <f t="shared" si="15"/>
        <v>0</v>
      </c>
    </row>
    <row r="1032" spans="7:9" x14ac:dyDescent="0.15">
      <c r="G1032">
        <v>1013</v>
      </c>
      <c r="H1032">
        <v>265.01420008306076</v>
      </c>
      <c r="I1032">
        <f t="shared" si="15"/>
        <v>0</v>
      </c>
    </row>
    <row r="1033" spans="7:9" x14ac:dyDescent="0.15">
      <c r="G1033">
        <v>1014</v>
      </c>
      <c r="H1033">
        <v>479.19229393674419</v>
      </c>
      <c r="I1033">
        <f t="shared" si="15"/>
        <v>0</v>
      </c>
    </row>
    <row r="1034" spans="7:9" x14ac:dyDescent="0.15">
      <c r="G1034">
        <v>1015</v>
      </c>
      <c r="H1034">
        <v>242.09700947169034</v>
      </c>
      <c r="I1034">
        <f t="shared" si="15"/>
        <v>0</v>
      </c>
    </row>
    <row r="1035" spans="7:9" x14ac:dyDescent="0.15">
      <c r="G1035">
        <v>1016</v>
      </c>
      <c r="H1035">
        <v>-171.36635301701108</v>
      </c>
      <c r="I1035">
        <f t="shared" si="15"/>
        <v>1</v>
      </c>
    </row>
    <row r="1036" spans="7:9" x14ac:dyDescent="0.15">
      <c r="G1036">
        <v>1017</v>
      </c>
      <c r="H1036">
        <v>165.80069978599215</v>
      </c>
      <c r="I1036">
        <f t="shared" si="15"/>
        <v>0</v>
      </c>
    </row>
    <row r="1037" spans="7:9" x14ac:dyDescent="0.15">
      <c r="G1037">
        <v>1018</v>
      </c>
      <c r="H1037">
        <v>-86.982577424129289</v>
      </c>
      <c r="I1037">
        <f t="shared" si="15"/>
        <v>1</v>
      </c>
    </row>
    <row r="1038" spans="7:9" x14ac:dyDescent="0.15">
      <c r="G1038">
        <v>1019</v>
      </c>
      <c r="H1038">
        <v>-103.86425634740205</v>
      </c>
      <c r="I1038">
        <f t="shared" si="15"/>
        <v>1</v>
      </c>
    </row>
    <row r="1039" spans="7:9" x14ac:dyDescent="0.15">
      <c r="G1039">
        <v>1020</v>
      </c>
      <c r="H1039">
        <v>-73.277093956609733</v>
      </c>
      <c r="I1039">
        <f t="shared" si="15"/>
        <v>1</v>
      </c>
    </row>
    <row r="1040" spans="7:9" x14ac:dyDescent="0.15">
      <c r="G1040">
        <v>1021</v>
      </c>
      <c r="H1040">
        <v>-265.53593894065779</v>
      </c>
      <c r="I1040">
        <f t="shared" si="15"/>
        <v>1</v>
      </c>
    </row>
    <row r="1041" spans="7:9" x14ac:dyDescent="0.15">
      <c r="G1041">
        <v>1022</v>
      </c>
      <c r="H1041">
        <v>219.26186905984906</v>
      </c>
      <c r="I1041">
        <f t="shared" si="15"/>
        <v>0</v>
      </c>
    </row>
    <row r="1042" spans="7:9" x14ac:dyDescent="0.15">
      <c r="G1042">
        <v>1023</v>
      </c>
      <c r="H1042">
        <v>212.10661481185619</v>
      </c>
      <c r="I1042">
        <f t="shared" si="15"/>
        <v>0</v>
      </c>
    </row>
    <row r="1043" spans="7:9" x14ac:dyDescent="0.15">
      <c r="G1043">
        <v>1024</v>
      </c>
      <c r="H1043">
        <v>607.24132459273301</v>
      </c>
      <c r="I1043">
        <f t="shared" si="15"/>
        <v>0</v>
      </c>
    </row>
    <row r="1044" spans="7:9" x14ac:dyDescent="0.15">
      <c r="G1044">
        <v>1025</v>
      </c>
      <c r="H1044">
        <v>176.5785347546406</v>
      </c>
      <c r="I1044">
        <f t="shared" si="15"/>
        <v>0</v>
      </c>
    </row>
    <row r="1045" spans="7:9" x14ac:dyDescent="0.15">
      <c r="G1045">
        <v>1026</v>
      </c>
      <c r="H1045">
        <v>59.97826284124416</v>
      </c>
      <c r="I1045">
        <f t="shared" ref="I1045:I1108" si="16">IF(H1045&lt;0,1,0)</f>
        <v>0</v>
      </c>
    </row>
    <row r="1046" spans="7:9" x14ac:dyDescent="0.15">
      <c r="G1046">
        <v>1027</v>
      </c>
      <c r="H1046">
        <v>-26.221662433718045</v>
      </c>
      <c r="I1046">
        <f t="shared" si="16"/>
        <v>1</v>
      </c>
    </row>
    <row r="1047" spans="7:9" x14ac:dyDescent="0.15">
      <c r="G1047">
        <v>1028</v>
      </c>
      <c r="H1047">
        <v>-306.12368925114373</v>
      </c>
      <c r="I1047">
        <f t="shared" si="16"/>
        <v>1</v>
      </c>
    </row>
    <row r="1048" spans="7:9" x14ac:dyDescent="0.15">
      <c r="G1048">
        <v>1029</v>
      </c>
      <c r="H1048">
        <v>-275.11738851806649</v>
      </c>
      <c r="I1048">
        <f t="shared" si="16"/>
        <v>1</v>
      </c>
    </row>
    <row r="1049" spans="7:9" x14ac:dyDescent="0.15">
      <c r="G1049">
        <v>1030</v>
      </c>
      <c r="H1049">
        <v>-9.3030384117435858</v>
      </c>
      <c r="I1049">
        <f t="shared" si="16"/>
        <v>1</v>
      </c>
    </row>
    <row r="1050" spans="7:9" x14ac:dyDescent="0.15">
      <c r="G1050">
        <v>1031</v>
      </c>
      <c r="H1050">
        <v>123.23962201905927</v>
      </c>
      <c r="I1050">
        <f t="shared" si="16"/>
        <v>0</v>
      </c>
    </row>
    <row r="1051" spans="7:9" x14ac:dyDescent="0.15">
      <c r="G1051">
        <v>1032</v>
      </c>
      <c r="H1051">
        <v>459.87554198007768</v>
      </c>
      <c r="I1051">
        <f t="shared" si="16"/>
        <v>0</v>
      </c>
    </row>
    <row r="1052" spans="7:9" x14ac:dyDescent="0.15">
      <c r="G1052">
        <v>1033</v>
      </c>
      <c r="H1052">
        <v>162.76351793961857</v>
      </c>
      <c r="I1052">
        <f t="shared" si="16"/>
        <v>0</v>
      </c>
    </row>
    <row r="1053" spans="7:9" x14ac:dyDescent="0.15">
      <c r="G1053">
        <v>1034</v>
      </c>
      <c r="H1053">
        <v>-26.556898682913001</v>
      </c>
      <c r="I1053">
        <f t="shared" si="16"/>
        <v>1</v>
      </c>
    </row>
    <row r="1054" spans="7:9" x14ac:dyDescent="0.15">
      <c r="G1054">
        <v>1035</v>
      </c>
      <c r="H1054">
        <v>203.31831243807719</v>
      </c>
      <c r="I1054">
        <f t="shared" si="16"/>
        <v>0</v>
      </c>
    </row>
    <row r="1055" spans="7:9" x14ac:dyDescent="0.15">
      <c r="G1055">
        <v>1036</v>
      </c>
      <c r="H1055">
        <v>199.16143612579117</v>
      </c>
      <c r="I1055">
        <f t="shared" si="16"/>
        <v>0</v>
      </c>
    </row>
    <row r="1056" spans="7:9" x14ac:dyDescent="0.15">
      <c r="G1056">
        <v>1037</v>
      </c>
      <c r="H1056">
        <v>227.08564148039147</v>
      </c>
      <c r="I1056">
        <f t="shared" si="16"/>
        <v>0</v>
      </c>
    </row>
    <row r="1057" spans="7:9" x14ac:dyDescent="0.15">
      <c r="G1057">
        <v>1038</v>
      </c>
      <c r="H1057">
        <v>381.62872806243467</v>
      </c>
      <c r="I1057">
        <f t="shared" si="16"/>
        <v>0</v>
      </c>
    </row>
    <row r="1058" spans="7:9" x14ac:dyDescent="0.15">
      <c r="G1058">
        <v>1039</v>
      </c>
      <c r="H1058">
        <v>691.67127899082823</v>
      </c>
      <c r="I1058">
        <f t="shared" si="16"/>
        <v>0</v>
      </c>
    </row>
    <row r="1059" spans="7:9" x14ac:dyDescent="0.15">
      <c r="G1059">
        <v>1040</v>
      </c>
      <c r="H1059">
        <v>-167.79043636508104</v>
      </c>
      <c r="I1059">
        <f t="shared" si="16"/>
        <v>1</v>
      </c>
    </row>
    <row r="1060" spans="7:9" x14ac:dyDescent="0.15">
      <c r="G1060">
        <v>1041</v>
      </c>
      <c r="H1060">
        <v>27.562670679895497</v>
      </c>
      <c r="I1060">
        <f t="shared" si="16"/>
        <v>0</v>
      </c>
    </row>
    <row r="1061" spans="7:9" x14ac:dyDescent="0.15">
      <c r="G1061">
        <v>1042</v>
      </c>
      <c r="H1061">
        <v>15.956986259681798</v>
      </c>
      <c r="I1061">
        <f t="shared" si="16"/>
        <v>0</v>
      </c>
    </row>
    <row r="1062" spans="7:9" x14ac:dyDescent="0.15">
      <c r="G1062">
        <v>1043</v>
      </c>
      <c r="H1062">
        <v>118.28544747944298</v>
      </c>
      <c r="I1062">
        <f t="shared" si="16"/>
        <v>0</v>
      </c>
    </row>
    <row r="1063" spans="7:9" x14ac:dyDescent="0.15">
      <c r="G1063">
        <v>1044</v>
      </c>
      <c r="H1063">
        <v>480.45569333887647</v>
      </c>
      <c r="I1063">
        <f t="shared" si="16"/>
        <v>0</v>
      </c>
    </row>
    <row r="1064" spans="7:9" x14ac:dyDescent="0.15">
      <c r="G1064">
        <v>1045</v>
      </c>
      <c r="H1064">
        <v>99.061494893183635</v>
      </c>
      <c r="I1064">
        <f t="shared" si="16"/>
        <v>0</v>
      </c>
    </row>
    <row r="1065" spans="7:9" x14ac:dyDescent="0.15">
      <c r="G1065">
        <v>1046</v>
      </c>
      <c r="H1065">
        <v>540.11618322908816</v>
      </c>
      <c r="I1065">
        <f t="shared" si="16"/>
        <v>0</v>
      </c>
    </row>
    <row r="1066" spans="7:9" x14ac:dyDescent="0.15">
      <c r="G1066">
        <v>1047</v>
      </c>
      <c r="H1066">
        <v>169.51951951650378</v>
      </c>
      <c r="I1066">
        <f t="shared" si="16"/>
        <v>0</v>
      </c>
    </row>
    <row r="1067" spans="7:9" x14ac:dyDescent="0.15">
      <c r="G1067">
        <v>1048</v>
      </c>
      <c r="H1067">
        <v>49.683410140519385</v>
      </c>
      <c r="I1067">
        <f t="shared" si="16"/>
        <v>0</v>
      </c>
    </row>
    <row r="1068" spans="7:9" x14ac:dyDescent="0.15">
      <c r="G1068">
        <v>1049</v>
      </c>
      <c r="H1068">
        <v>486.93485790073794</v>
      </c>
      <c r="I1068">
        <f t="shared" si="16"/>
        <v>0</v>
      </c>
    </row>
    <row r="1069" spans="7:9" x14ac:dyDescent="0.15">
      <c r="G1069">
        <v>1050</v>
      </c>
      <c r="H1069">
        <v>-74.407760935916087</v>
      </c>
      <c r="I1069">
        <f t="shared" si="16"/>
        <v>1</v>
      </c>
    </row>
    <row r="1070" spans="7:9" x14ac:dyDescent="0.15">
      <c r="G1070">
        <v>1051</v>
      </c>
      <c r="H1070">
        <v>315.61904079446884</v>
      </c>
      <c r="I1070">
        <f t="shared" si="16"/>
        <v>0</v>
      </c>
    </row>
    <row r="1071" spans="7:9" x14ac:dyDescent="0.15">
      <c r="G1071">
        <v>1052</v>
      </c>
      <c r="H1071">
        <v>105.72906576553196</v>
      </c>
      <c r="I1071">
        <f t="shared" si="16"/>
        <v>0</v>
      </c>
    </row>
    <row r="1072" spans="7:9" x14ac:dyDescent="0.15">
      <c r="G1072">
        <v>1053</v>
      </c>
      <c r="H1072">
        <v>533.06174491285469</v>
      </c>
      <c r="I1072">
        <f t="shared" si="16"/>
        <v>0</v>
      </c>
    </row>
    <row r="1073" spans="7:9" x14ac:dyDescent="0.15">
      <c r="G1073">
        <v>1054</v>
      </c>
      <c r="H1073">
        <v>-197.61256539914046</v>
      </c>
      <c r="I1073">
        <f t="shared" si="16"/>
        <v>1</v>
      </c>
    </row>
    <row r="1074" spans="7:9" x14ac:dyDescent="0.15">
      <c r="G1074">
        <v>1055</v>
      </c>
      <c r="H1074">
        <v>12.346757016611008</v>
      </c>
      <c r="I1074">
        <f t="shared" si="16"/>
        <v>0</v>
      </c>
    </row>
    <row r="1075" spans="7:9" x14ac:dyDescent="0.15">
      <c r="G1075">
        <v>1056</v>
      </c>
      <c r="H1075">
        <v>40.629861506939278</v>
      </c>
      <c r="I1075">
        <f t="shared" si="16"/>
        <v>0</v>
      </c>
    </row>
    <row r="1076" spans="7:9" x14ac:dyDescent="0.15">
      <c r="G1076">
        <v>1057</v>
      </c>
      <c r="H1076">
        <v>-196.50647504676556</v>
      </c>
      <c r="I1076">
        <f t="shared" si="16"/>
        <v>1</v>
      </c>
    </row>
    <row r="1077" spans="7:9" x14ac:dyDescent="0.15">
      <c r="G1077">
        <v>1058</v>
      </c>
      <c r="H1077">
        <v>257.98359153303346</v>
      </c>
      <c r="I1077">
        <f t="shared" si="16"/>
        <v>0</v>
      </c>
    </row>
    <row r="1078" spans="7:9" x14ac:dyDescent="0.15">
      <c r="G1078">
        <v>1059</v>
      </c>
      <c r="H1078">
        <v>23.171546779471974</v>
      </c>
      <c r="I1078">
        <f t="shared" si="16"/>
        <v>0</v>
      </c>
    </row>
    <row r="1079" spans="7:9" x14ac:dyDescent="0.15">
      <c r="G1079">
        <v>1060</v>
      </c>
      <c r="H1079">
        <v>-56.588984360304821</v>
      </c>
      <c r="I1079">
        <f t="shared" si="16"/>
        <v>1</v>
      </c>
    </row>
    <row r="1080" spans="7:9" x14ac:dyDescent="0.15">
      <c r="G1080">
        <v>1061</v>
      </c>
      <c r="H1080">
        <v>-107.60004634884449</v>
      </c>
      <c r="I1080">
        <f t="shared" si="16"/>
        <v>1</v>
      </c>
    </row>
    <row r="1081" spans="7:9" x14ac:dyDescent="0.15">
      <c r="G1081">
        <v>1062</v>
      </c>
      <c r="H1081">
        <v>590.29823283011524</v>
      </c>
      <c r="I1081">
        <f t="shared" si="16"/>
        <v>0</v>
      </c>
    </row>
    <row r="1082" spans="7:9" x14ac:dyDescent="0.15">
      <c r="G1082">
        <v>1063</v>
      </c>
      <c r="H1082">
        <v>189.75874183152342</v>
      </c>
      <c r="I1082">
        <f t="shared" si="16"/>
        <v>0</v>
      </c>
    </row>
    <row r="1083" spans="7:9" x14ac:dyDescent="0.15">
      <c r="G1083">
        <v>1064</v>
      </c>
      <c r="H1083">
        <v>259.79939048275617</v>
      </c>
      <c r="I1083">
        <f t="shared" si="16"/>
        <v>0</v>
      </c>
    </row>
    <row r="1084" spans="7:9" x14ac:dyDescent="0.15">
      <c r="G1084">
        <v>1065</v>
      </c>
      <c r="H1084">
        <v>509.87920781463276</v>
      </c>
      <c r="I1084">
        <f t="shared" si="16"/>
        <v>0</v>
      </c>
    </row>
    <row r="1085" spans="7:9" x14ac:dyDescent="0.15">
      <c r="G1085">
        <v>1066</v>
      </c>
      <c r="H1085">
        <v>13.849794688547838</v>
      </c>
      <c r="I1085">
        <f t="shared" si="16"/>
        <v>0</v>
      </c>
    </row>
    <row r="1086" spans="7:9" x14ac:dyDescent="0.15">
      <c r="G1086">
        <v>1067</v>
      </c>
      <c r="H1086">
        <v>113.17514609329311</v>
      </c>
      <c r="I1086">
        <f t="shared" si="16"/>
        <v>0</v>
      </c>
    </row>
    <row r="1087" spans="7:9" x14ac:dyDescent="0.15">
      <c r="G1087">
        <v>1068</v>
      </c>
      <c r="H1087">
        <v>218.04437852338424</v>
      </c>
      <c r="I1087">
        <f t="shared" si="16"/>
        <v>0</v>
      </c>
    </row>
    <row r="1088" spans="7:9" x14ac:dyDescent="0.15">
      <c r="G1088">
        <v>1069</v>
      </c>
      <c r="H1088">
        <v>115.65339422520421</v>
      </c>
      <c r="I1088">
        <f t="shared" si="16"/>
        <v>0</v>
      </c>
    </row>
    <row r="1089" spans="7:9" x14ac:dyDescent="0.15">
      <c r="G1089">
        <v>1070</v>
      </c>
      <c r="H1089">
        <v>103.75108218988382</v>
      </c>
      <c r="I1089">
        <f t="shared" si="16"/>
        <v>0</v>
      </c>
    </row>
    <row r="1090" spans="7:9" x14ac:dyDescent="0.15">
      <c r="G1090">
        <v>1071</v>
      </c>
      <c r="H1090">
        <v>577.70556146358388</v>
      </c>
      <c r="I1090">
        <f t="shared" si="16"/>
        <v>0</v>
      </c>
    </row>
    <row r="1091" spans="7:9" x14ac:dyDescent="0.15">
      <c r="G1091">
        <v>1072</v>
      </c>
      <c r="H1091">
        <v>-323.33831875410306</v>
      </c>
      <c r="I1091">
        <f t="shared" si="16"/>
        <v>1</v>
      </c>
    </row>
    <row r="1092" spans="7:9" x14ac:dyDescent="0.15">
      <c r="G1092">
        <v>1073</v>
      </c>
      <c r="H1092">
        <v>31.766645601597233</v>
      </c>
      <c r="I1092">
        <f t="shared" si="16"/>
        <v>0</v>
      </c>
    </row>
    <row r="1093" spans="7:9" x14ac:dyDescent="0.15">
      <c r="G1093">
        <v>1074</v>
      </c>
      <c r="H1093">
        <v>61.476218591204713</v>
      </c>
      <c r="I1093">
        <f t="shared" si="16"/>
        <v>0</v>
      </c>
    </row>
    <row r="1094" spans="7:9" x14ac:dyDescent="0.15">
      <c r="G1094">
        <v>1075</v>
      </c>
      <c r="H1094">
        <v>109.04665395826717</v>
      </c>
      <c r="I1094">
        <f t="shared" si="16"/>
        <v>0</v>
      </c>
    </row>
    <row r="1095" spans="7:9" x14ac:dyDescent="0.15">
      <c r="G1095">
        <v>1076</v>
      </c>
      <c r="H1095">
        <v>480.83026838589251</v>
      </c>
      <c r="I1095">
        <f t="shared" si="16"/>
        <v>0</v>
      </c>
    </row>
    <row r="1096" spans="7:9" x14ac:dyDescent="0.15">
      <c r="G1096">
        <v>1077</v>
      </c>
      <c r="H1096">
        <v>-150.11758630471428</v>
      </c>
      <c r="I1096">
        <f t="shared" si="16"/>
        <v>1</v>
      </c>
    </row>
    <row r="1097" spans="7:9" x14ac:dyDescent="0.15">
      <c r="G1097">
        <v>1078</v>
      </c>
      <c r="H1097">
        <v>229.13272041606325</v>
      </c>
      <c r="I1097">
        <f t="shared" si="16"/>
        <v>0</v>
      </c>
    </row>
    <row r="1098" spans="7:9" x14ac:dyDescent="0.15">
      <c r="G1098">
        <v>1079</v>
      </c>
      <c r="H1098">
        <v>24.486140452224816</v>
      </c>
      <c r="I1098">
        <f t="shared" si="16"/>
        <v>0</v>
      </c>
    </row>
    <row r="1099" spans="7:9" x14ac:dyDescent="0.15">
      <c r="G1099">
        <v>1080</v>
      </c>
      <c r="H1099">
        <v>71.391714093106501</v>
      </c>
      <c r="I1099">
        <f t="shared" si="16"/>
        <v>0</v>
      </c>
    </row>
    <row r="1100" spans="7:9" x14ac:dyDescent="0.15">
      <c r="G1100">
        <v>1081</v>
      </c>
      <c r="H1100">
        <v>115.8683512402672</v>
      </c>
      <c r="I1100">
        <f t="shared" si="16"/>
        <v>0</v>
      </c>
    </row>
    <row r="1101" spans="7:9" x14ac:dyDescent="0.15">
      <c r="G1101">
        <v>1082</v>
      </c>
      <c r="H1101">
        <v>334.30981103563062</v>
      </c>
      <c r="I1101">
        <f t="shared" si="16"/>
        <v>0</v>
      </c>
    </row>
    <row r="1102" spans="7:9" x14ac:dyDescent="0.15">
      <c r="G1102">
        <v>1083</v>
      </c>
      <c r="H1102">
        <v>-35.576973320179093</v>
      </c>
      <c r="I1102">
        <f t="shared" si="16"/>
        <v>1</v>
      </c>
    </row>
    <row r="1103" spans="7:9" x14ac:dyDescent="0.15">
      <c r="G1103">
        <v>1084</v>
      </c>
      <c r="H1103">
        <v>-196.05643497994649</v>
      </c>
      <c r="I1103">
        <f t="shared" si="16"/>
        <v>1</v>
      </c>
    </row>
    <row r="1104" spans="7:9" x14ac:dyDescent="0.15">
      <c r="G1104">
        <v>1085</v>
      </c>
      <c r="H1104">
        <v>-11.717683373914639</v>
      </c>
      <c r="I1104">
        <f t="shared" si="16"/>
        <v>1</v>
      </c>
    </row>
    <row r="1105" spans="7:9" x14ac:dyDescent="0.15">
      <c r="G1105">
        <v>1086</v>
      </c>
      <c r="H1105">
        <v>126.05862473665488</v>
      </c>
      <c r="I1105">
        <f t="shared" si="16"/>
        <v>0</v>
      </c>
    </row>
    <row r="1106" spans="7:9" x14ac:dyDescent="0.15">
      <c r="G1106">
        <v>1087</v>
      </c>
      <c r="H1106">
        <v>85.939024225874462</v>
      </c>
      <c r="I1106">
        <f t="shared" si="16"/>
        <v>0</v>
      </c>
    </row>
    <row r="1107" spans="7:9" x14ac:dyDescent="0.15">
      <c r="G1107">
        <v>1088</v>
      </c>
      <c r="H1107">
        <v>148.76999779168816</v>
      </c>
      <c r="I1107">
        <f t="shared" si="16"/>
        <v>0</v>
      </c>
    </row>
    <row r="1108" spans="7:9" x14ac:dyDescent="0.15">
      <c r="G1108">
        <v>1089</v>
      </c>
      <c r="H1108">
        <v>216.3851266960319</v>
      </c>
      <c r="I1108">
        <f t="shared" si="16"/>
        <v>0</v>
      </c>
    </row>
    <row r="1109" spans="7:9" x14ac:dyDescent="0.15">
      <c r="G1109">
        <v>1090</v>
      </c>
      <c r="H1109">
        <v>108.24584459976754</v>
      </c>
      <c r="I1109">
        <f t="shared" ref="I1109:I1172" si="17">IF(H1109&lt;0,1,0)</f>
        <v>0</v>
      </c>
    </row>
    <row r="1110" spans="7:9" x14ac:dyDescent="0.15">
      <c r="G1110">
        <v>1091</v>
      </c>
      <c r="H1110">
        <v>229.18071275072856</v>
      </c>
      <c r="I1110">
        <f t="shared" si="17"/>
        <v>0</v>
      </c>
    </row>
    <row r="1111" spans="7:9" x14ac:dyDescent="0.15">
      <c r="G1111">
        <v>1092</v>
      </c>
      <c r="H1111">
        <v>73.218484375163627</v>
      </c>
      <c r="I1111">
        <f t="shared" si="17"/>
        <v>0</v>
      </c>
    </row>
    <row r="1112" spans="7:9" x14ac:dyDescent="0.15">
      <c r="G1112">
        <v>1093</v>
      </c>
      <c r="H1112">
        <v>485.03837174368903</v>
      </c>
      <c r="I1112">
        <f t="shared" si="17"/>
        <v>0</v>
      </c>
    </row>
    <row r="1113" spans="7:9" x14ac:dyDescent="0.15">
      <c r="G1113">
        <v>1094</v>
      </c>
      <c r="H1113">
        <v>-248.93655162713102</v>
      </c>
      <c r="I1113">
        <f t="shared" si="17"/>
        <v>1</v>
      </c>
    </row>
    <row r="1114" spans="7:9" x14ac:dyDescent="0.15">
      <c r="G1114">
        <v>1095</v>
      </c>
      <c r="H1114">
        <v>-128.92745817273388</v>
      </c>
      <c r="I1114">
        <f t="shared" si="17"/>
        <v>1</v>
      </c>
    </row>
    <row r="1115" spans="7:9" x14ac:dyDescent="0.15">
      <c r="G1115">
        <v>1096</v>
      </c>
      <c r="H1115">
        <v>105.15636301718754</v>
      </c>
      <c r="I1115">
        <f t="shared" si="17"/>
        <v>0</v>
      </c>
    </row>
    <row r="1116" spans="7:9" x14ac:dyDescent="0.15">
      <c r="G1116">
        <v>1097</v>
      </c>
      <c r="H1116">
        <v>132.54509073658824</v>
      </c>
      <c r="I1116">
        <f t="shared" si="17"/>
        <v>0</v>
      </c>
    </row>
    <row r="1117" spans="7:9" x14ac:dyDescent="0.15">
      <c r="G1117">
        <v>1098</v>
      </c>
      <c r="H1117">
        <v>-50.050954124105196</v>
      </c>
      <c r="I1117">
        <f t="shared" si="17"/>
        <v>1</v>
      </c>
    </row>
    <row r="1118" spans="7:9" x14ac:dyDescent="0.15">
      <c r="G1118">
        <v>1099</v>
      </c>
      <c r="H1118">
        <v>-279.70922643652261</v>
      </c>
      <c r="I1118">
        <f t="shared" si="17"/>
        <v>1</v>
      </c>
    </row>
    <row r="1119" spans="7:9" x14ac:dyDescent="0.15">
      <c r="G1119">
        <v>1100</v>
      </c>
      <c r="H1119">
        <v>-22.434647187635036</v>
      </c>
      <c r="I1119">
        <f t="shared" si="17"/>
        <v>1</v>
      </c>
    </row>
    <row r="1120" spans="7:9" x14ac:dyDescent="0.15">
      <c r="G1120">
        <v>1101</v>
      </c>
      <c r="H1120">
        <v>103.415855979564</v>
      </c>
      <c r="I1120">
        <f t="shared" si="17"/>
        <v>0</v>
      </c>
    </row>
    <row r="1121" spans="7:9" x14ac:dyDescent="0.15">
      <c r="G1121">
        <v>1102</v>
      </c>
      <c r="H1121">
        <v>113.15948897819855</v>
      </c>
      <c r="I1121">
        <f t="shared" si="17"/>
        <v>0</v>
      </c>
    </row>
    <row r="1122" spans="7:9" x14ac:dyDescent="0.15">
      <c r="G1122">
        <v>1103</v>
      </c>
      <c r="H1122">
        <v>51.844864234851741</v>
      </c>
      <c r="I1122">
        <f t="shared" si="17"/>
        <v>0</v>
      </c>
    </row>
    <row r="1123" spans="7:9" x14ac:dyDescent="0.15">
      <c r="G1123">
        <v>1104</v>
      </c>
      <c r="H1123">
        <v>-314.797621353956</v>
      </c>
      <c r="I1123">
        <f t="shared" si="17"/>
        <v>1</v>
      </c>
    </row>
    <row r="1124" spans="7:9" x14ac:dyDescent="0.15">
      <c r="G1124">
        <v>1105</v>
      </c>
      <c r="H1124">
        <v>-470.43996078718908</v>
      </c>
      <c r="I1124">
        <f t="shared" si="17"/>
        <v>1</v>
      </c>
    </row>
    <row r="1125" spans="7:9" x14ac:dyDescent="0.15">
      <c r="G1125">
        <v>1106</v>
      </c>
      <c r="H1125">
        <v>93.996836679174606</v>
      </c>
      <c r="I1125">
        <f t="shared" si="17"/>
        <v>0</v>
      </c>
    </row>
    <row r="1126" spans="7:9" x14ac:dyDescent="0.15">
      <c r="G1126">
        <v>1107</v>
      </c>
      <c r="H1126">
        <v>315.45586205715426</v>
      </c>
      <c r="I1126">
        <f t="shared" si="17"/>
        <v>0</v>
      </c>
    </row>
    <row r="1127" spans="7:9" x14ac:dyDescent="0.15">
      <c r="G1127">
        <v>1108</v>
      </c>
      <c r="H1127">
        <v>-102.15298687980264</v>
      </c>
      <c r="I1127">
        <f t="shared" si="17"/>
        <v>1</v>
      </c>
    </row>
    <row r="1128" spans="7:9" x14ac:dyDescent="0.15">
      <c r="G1128">
        <v>1109</v>
      </c>
      <c r="H1128">
        <v>-18.454351127617642</v>
      </c>
      <c r="I1128">
        <f t="shared" si="17"/>
        <v>1</v>
      </c>
    </row>
    <row r="1129" spans="7:9" x14ac:dyDescent="0.15">
      <c r="G1129">
        <v>1110</v>
      </c>
      <c r="H1129">
        <v>382.02200605009182</v>
      </c>
      <c r="I1129">
        <f t="shared" si="17"/>
        <v>0</v>
      </c>
    </row>
    <row r="1130" spans="7:9" x14ac:dyDescent="0.15">
      <c r="G1130">
        <v>1111</v>
      </c>
      <c r="H1130">
        <v>-90.89021166700185</v>
      </c>
      <c r="I1130">
        <f t="shared" si="17"/>
        <v>1</v>
      </c>
    </row>
    <row r="1131" spans="7:9" x14ac:dyDescent="0.15">
      <c r="G1131">
        <v>1112</v>
      </c>
      <c r="H1131">
        <v>363.6586482238485</v>
      </c>
      <c r="I1131">
        <f t="shared" si="17"/>
        <v>0</v>
      </c>
    </row>
    <row r="1132" spans="7:9" x14ac:dyDescent="0.15">
      <c r="G1132">
        <v>1113</v>
      </c>
      <c r="H1132">
        <v>-199.31215402237063</v>
      </c>
      <c r="I1132">
        <f t="shared" si="17"/>
        <v>1</v>
      </c>
    </row>
    <row r="1133" spans="7:9" x14ac:dyDescent="0.15">
      <c r="G1133">
        <v>1114</v>
      </c>
      <c r="H1133">
        <v>-125.47766351922111</v>
      </c>
      <c r="I1133">
        <f t="shared" si="17"/>
        <v>1</v>
      </c>
    </row>
    <row r="1134" spans="7:9" x14ac:dyDescent="0.15">
      <c r="G1134">
        <v>1115</v>
      </c>
      <c r="H1134">
        <v>334.31454467938192</v>
      </c>
      <c r="I1134">
        <f t="shared" si="17"/>
        <v>0</v>
      </c>
    </row>
    <row r="1135" spans="7:9" x14ac:dyDescent="0.15">
      <c r="G1135">
        <v>1116</v>
      </c>
      <c r="H1135">
        <v>16.682438988135459</v>
      </c>
      <c r="I1135">
        <f t="shared" si="17"/>
        <v>0</v>
      </c>
    </row>
    <row r="1136" spans="7:9" x14ac:dyDescent="0.15">
      <c r="G1136">
        <v>1117</v>
      </c>
      <c r="H1136">
        <v>144.36194097922106</v>
      </c>
      <c r="I1136">
        <f t="shared" si="17"/>
        <v>0</v>
      </c>
    </row>
    <row r="1137" spans="7:9" x14ac:dyDescent="0.15">
      <c r="G1137">
        <v>1118</v>
      </c>
      <c r="H1137">
        <v>-169.5361690364588</v>
      </c>
      <c r="I1137">
        <f t="shared" si="17"/>
        <v>1</v>
      </c>
    </row>
    <row r="1138" spans="7:9" x14ac:dyDescent="0.15">
      <c r="G1138">
        <v>1119</v>
      </c>
      <c r="H1138">
        <v>-49.812387920490806</v>
      </c>
      <c r="I1138">
        <f t="shared" si="17"/>
        <v>1</v>
      </c>
    </row>
    <row r="1139" spans="7:9" x14ac:dyDescent="0.15">
      <c r="G1139">
        <v>1120</v>
      </c>
      <c r="H1139">
        <v>75.806516915746784</v>
      </c>
      <c r="I1139">
        <f t="shared" si="17"/>
        <v>0</v>
      </c>
    </row>
    <row r="1140" spans="7:9" x14ac:dyDescent="0.15">
      <c r="G1140">
        <v>1121</v>
      </c>
      <c r="H1140">
        <v>257.05143813488252</v>
      </c>
      <c r="I1140">
        <f t="shared" si="17"/>
        <v>0</v>
      </c>
    </row>
    <row r="1141" spans="7:9" x14ac:dyDescent="0.15">
      <c r="G1141">
        <v>1122</v>
      </c>
      <c r="H1141">
        <v>166.91536588203334</v>
      </c>
      <c r="I1141">
        <f t="shared" si="17"/>
        <v>0</v>
      </c>
    </row>
    <row r="1142" spans="7:9" x14ac:dyDescent="0.15">
      <c r="G1142">
        <v>1123</v>
      </c>
      <c r="H1142">
        <v>-212.82795090496128</v>
      </c>
      <c r="I1142">
        <f t="shared" si="17"/>
        <v>1</v>
      </c>
    </row>
    <row r="1143" spans="7:9" x14ac:dyDescent="0.15">
      <c r="G1143">
        <v>1124</v>
      </c>
      <c r="H1143">
        <v>-119.30000077499589</v>
      </c>
      <c r="I1143">
        <f t="shared" si="17"/>
        <v>1</v>
      </c>
    </row>
    <row r="1144" spans="7:9" x14ac:dyDescent="0.15">
      <c r="G1144">
        <v>1125</v>
      </c>
      <c r="H1144">
        <v>140.15855574553225</v>
      </c>
      <c r="I1144">
        <f t="shared" si="17"/>
        <v>0</v>
      </c>
    </row>
    <row r="1145" spans="7:9" x14ac:dyDescent="0.15">
      <c r="G1145">
        <v>1126</v>
      </c>
      <c r="H1145">
        <v>-95.548242639651193</v>
      </c>
      <c r="I1145">
        <f t="shared" si="17"/>
        <v>1</v>
      </c>
    </row>
    <row r="1146" spans="7:9" x14ac:dyDescent="0.15">
      <c r="G1146">
        <v>1127</v>
      </c>
      <c r="H1146">
        <v>-58.47237403525493</v>
      </c>
      <c r="I1146">
        <f t="shared" si="17"/>
        <v>1</v>
      </c>
    </row>
    <row r="1147" spans="7:9" x14ac:dyDescent="0.15">
      <c r="G1147">
        <v>1128</v>
      </c>
      <c r="H1147">
        <v>291.07889533570096</v>
      </c>
      <c r="I1147">
        <f t="shared" si="17"/>
        <v>0</v>
      </c>
    </row>
    <row r="1148" spans="7:9" x14ac:dyDescent="0.15">
      <c r="G1148">
        <v>1129</v>
      </c>
      <c r="H1148">
        <v>400.71855350342889</v>
      </c>
      <c r="I1148">
        <f t="shared" si="17"/>
        <v>0</v>
      </c>
    </row>
    <row r="1149" spans="7:9" x14ac:dyDescent="0.15">
      <c r="G1149">
        <v>1130</v>
      </c>
      <c r="H1149">
        <v>-3.08621179255546</v>
      </c>
      <c r="I1149">
        <f t="shared" si="17"/>
        <v>1</v>
      </c>
    </row>
    <row r="1150" spans="7:9" x14ac:dyDescent="0.15">
      <c r="G1150">
        <v>1131</v>
      </c>
      <c r="H1150">
        <v>-1.3269862648077506</v>
      </c>
      <c r="I1150">
        <f t="shared" si="17"/>
        <v>1</v>
      </c>
    </row>
    <row r="1151" spans="7:9" x14ac:dyDescent="0.15">
      <c r="G1151">
        <v>1132</v>
      </c>
      <c r="H1151">
        <v>-78.657374881447168</v>
      </c>
      <c r="I1151">
        <f t="shared" si="17"/>
        <v>1</v>
      </c>
    </row>
    <row r="1152" spans="7:9" x14ac:dyDescent="0.15">
      <c r="G1152">
        <v>1133</v>
      </c>
      <c r="H1152">
        <v>-63.522510968344264</v>
      </c>
      <c r="I1152">
        <f t="shared" si="17"/>
        <v>1</v>
      </c>
    </row>
    <row r="1153" spans="7:9" x14ac:dyDescent="0.15">
      <c r="G1153">
        <v>1134</v>
      </c>
      <c r="H1153">
        <v>51.908498660159268</v>
      </c>
      <c r="I1153">
        <f t="shared" si="17"/>
        <v>0</v>
      </c>
    </row>
    <row r="1154" spans="7:9" x14ac:dyDescent="0.15">
      <c r="G1154">
        <v>1135</v>
      </c>
      <c r="H1154">
        <v>-62.898230854633823</v>
      </c>
      <c r="I1154">
        <f t="shared" si="17"/>
        <v>1</v>
      </c>
    </row>
    <row r="1155" spans="7:9" x14ac:dyDescent="0.15">
      <c r="G1155">
        <v>1136</v>
      </c>
      <c r="H1155">
        <v>-161.96829351885799</v>
      </c>
      <c r="I1155">
        <f t="shared" si="17"/>
        <v>1</v>
      </c>
    </row>
    <row r="1156" spans="7:9" x14ac:dyDescent="0.15">
      <c r="G1156">
        <v>1137</v>
      </c>
      <c r="H1156">
        <v>40.453375877798223</v>
      </c>
      <c r="I1156">
        <f t="shared" si="17"/>
        <v>0</v>
      </c>
    </row>
    <row r="1157" spans="7:9" x14ac:dyDescent="0.15">
      <c r="G1157">
        <v>1138</v>
      </c>
      <c r="H1157">
        <v>-46.512297340869765</v>
      </c>
      <c r="I1157">
        <f t="shared" si="17"/>
        <v>1</v>
      </c>
    </row>
    <row r="1158" spans="7:9" x14ac:dyDescent="0.15">
      <c r="G1158">
        <v>1139</v>
      </c>
      <c r="H1158">
        <v>989.92043609014422</v>
      </c>
      <c r="I1158">
        <f t="shared" si="17"/>
        <v>0</v>
      </c>
    </row>
    <row r="1159" spans="7:9" x14ac:dyDescent="0.15">
      <c r="G1159">
        <v>1140</v>
      </c>
      <c r="H1159">
        <v>-177.08924864966366</v>
      </c>
      <c r="I1159">
        <f t="shared" si="17"/>
        <v>1</v>
      </c>
    </row>
    <row r="1160" spans="7:9" x14ac:dyDescent="0.15">
      <c r="G1160">
        <v>1141</v>
      </c>
      <c r="H1160">
        <v>334.56022290021241</v>
      </c>
      <c r="I1160">
        <f t="shared" si="17"/>
        <v>0</v>
      </c>
    </row>
    <row r="1161" spans="7:9" x14ac:dyDescent="0.15">
      <c r="G1161">
        <v>1142</v>
      </c>
      <c r="H1161">
        <v>16.676696204730163</v>
      </c>
      <c r="I1161">
        <f t="shared" si="17"/>
        <v>0</v>
      </c>
    </row>
    <row r="1162" spans="7:9" x14ac:dyDescent="0.15">
      <c r="G1162">
        <v>1143</v>
      </c>
      <c r="H1162">
        <v>-10.793948201747483</v>
      </c>
      <c r="I1162">
        <f t="shared" si="17"/>
        <v>1</v>
      </c>
    </row>
    <row r="1163" spans="7:9" x14ac:dyDescent="0.15">
      <c r="G1163">
        <v>1144</v>
      </c>
      <c r="H1163">
        <v>-8.7398035933503877</v>
      </c>
      <c r="I1163">
        <f t="shared" si="17"/>
        <v>1</v>
      </c>
    </row>
    <row r="1164" spans="7:9" x14ac:dyDescent="0.15">
      <c r="G1164">
        <v>1145</v>
      </c>
      <c r="H1164">
        <v>50.059889988060561</v>
      </c>
      <c r="I1164">
        <f t="shared" si="17"/>
        <v>0</v>
      </c>
    </row>
    <row r="1165" spans="7:9" x14ac:dyDescent="0.15">
      <c r="G1165">
        <v>1146</v>
      </c>
      <c r="H1165">
        <v>299.94834061153381</v>
      </c>
      <c r="I1165">
        <f t="shared" si="17"/>
        <v>0</v>
      </c>
    </row>
    <row r="1166" spans="7:9" x14ac:dyDescent="0.15">
      <c r="G1166">
        <v>1147</v>
      </c>
      <c r="H1166">
        <v>196.16901704466059</v>
      </c>
      <c r="I1166">
        <f t="shared" si="17"/>
        <v>0</v>
      </c>
    </row>
    <row r="1167" spans="7:9" x14ac:dyDescent="0.15">
      <c r="G1167">
        <v>1148</v>
      </c>
      <c r="H1167">
        <v>-141.49788955815279</v>
      </c>
      <c r="I1167">
        <f t="shared" si="17"/>
        <v>1</v>
      </c>
    </row>
    <row r="1168" spans="7:9" x14ac:dyDescent="0.15">
      <c r="G1168">
        <v>1149</v>
      </c>
      <c r="H1168">
        <v>-360.96749172841277</v>
      </c>
      <c r="I1168">
        <f t="shared" si="17"/>
        <v>1</v>
      </c>
    </row>
    <row r="1169" spans="7:9" x14ac:dyDescent="0.15">
      <c r="G1169">
        <v>1150</v>
      </c>
      <c r="H1169">
        <v>96.375231310864024</v>
      </c>
      <c r="I1169">
        <f t="shared" si="17"/>
        <v>0</v>
      </c>
    </row>
    <row r="1170" spans="7:9" x14ac:dyDescent="0.15">
      <c r="G1170">
        <v>1151</v>
      </c>
      <c r="H1170">
        <v>301.55280170382105</v>
      </c>
      <c r="I1170">
        <f t="shared" si="17"/>
        <v>0</v>
      </c>
    </row>
    <row r="1171" spans="7:9" x14ac:dyDescent="0.15">
      <c r="G1171">
        <v>1152</v>
      </c>
      <c r="H1171">
        <v>-9.5251809205200288</v>
      </c>
      <c r="I1171">
        <f t="shared" si="17"/>
        <v>1</v>
      </c>
    </row>
    <row r="1172" spans="7:9" x14ac:dyDescent="0.15">
      <c r="G1172">
        <v>1153</v>
      </c>
      <c r="H1172">
        <v>70.69019773847927</v>
      </c>
      <c r="I1172">
        <f t="shared" si="17"/>
        <v>0</v>
      </c>
    </row>
    <row r="1173" spans="7:9" x14ac:dyDescent="0.15">
      <c r="G1173">
        <v>1154</v>
      </c>
      <c r="H1173">
        <v>68.096608402791048</v>
      </c>
      <c r="I1173">
        <f t="shared" ref="I1173:I1236" si="18">IF(H1173&lt;0,1,0)</f>
        <v>0</v>
      </c>
    </row>
    <row r="1174" spans="7:9" x14ac:dyDescent="0.15">
      <c r="G1174">
        <v>1155</v>
      </c>
      <c r="H1174">
        <v>118.32579904059682</v>
      </c>
      <c r="I1174">
        <f t="shared" si="18"/>
        <v>0</v>
      </c>
    </row>
    <row r="1175" spans="7:9" x14ac:dyDescent="0.15">
      <c r="G1175">
        <v>1156</v>
      </c>
      <c r="H1175">
        <v>-261.21045602425903</v>
      </c>
      <c r="I1175">
        <f t="shared" si="18"/>
        <v>1</v>
      </c>
    </row>
    <row r="1176" spans="7:9" x14ac:dyDescent="0.15">
      <c r="G1176">
        <v>1157</v>
      </c>
      <c r="H1176">
        <v>721.67244728874596</v>
      </c>
      <c r="I1176">
        <f t="shared" si="18"/>
        <v>0</v>
      </c>
    </row>
    <row r="1177" spans="7:9" x14ac:dyDescent="0.15">
      <c r="G1177">
        <v>1158</v>
      </c>
      <c r="H1177">
        <v>164.36949113686876</v>
      </c>
      <c r="I1177">
        <f t="shared" si="18"/>
        <v>0</v>
      </c>
    </row>
    <row r="1178" spans="7:9" x14ac:dyDescent="0.15">
      <c r="G1178">
        <v>1159</v>
      </c>
      <c r="H1178">
        <v>247.37802839355115</v>
      </c>
      <c r="I1178">
        <f t="shared" si="18"/>
        <v>0</v>
      </c>
    </row>
    <row r="1179" spans="7:9" x14ac:dyDescent="0.15">
      <c r="G1179">
        <v>1160</v>
      </c>
      <c r="H1179">
        <v>216.15413534206638</v>
      </c>
      <c r="I1179">
        <f t="shared" si="18"/>
        <v>0</v>
      </c>
    </row>
    <row r="1180" spans="7:9" x14ac:dyDescent="0.15">
      <c r="G1180">
        <v>1161</v>
      </c>
      <c r="H1180">
        <v>152.3441380462429</v>
      </c>
      <c r="I1180">
        <f t="shared" si="18"/>
        <v>0</v>
      </c>
    </row>
    <row r="1181" spans="7:9" x14ac:dyDescent="0.15">
      <c r="G1181">
        <v>1162</v>
      </c>
      <c r="H1181">
        <v>78.545471126084976</v>
      </c>
      <c r="I1181">
        <f t="shared" si="18"/>
        <v>0</v>
      </c>
    </row>
    <row r="1182" spans="7:9" x14ac:dyDescent="0.15">
      <c r="G1182">
        <v>1163</v>
      </c>
      <c r="H1182">
        <v>-253.34817607504613</v>
      </c>
      <c r="I1182">
        <f t="shared" si="18"/>
        <v>1</v>
      </c>
    </row>
    <row r="1183" spans="7:9" x14ac:dyDescent="0.15">
      <c r="G1183">
        <v>1164</v>
      </c>
      <c r="H1183">
        <v>-340.19346857333062</v>
      </c>
      <c r="I1183">
        <f t="shared" si="18"/>
        <v>1</v>
      </c>
    </row>
    <row r="1184" spans="7:9" x14ac:dyDescent="0.15">
      <c r="G1184">
        <v>1165</v>
      </c>
      <c r="H1184">
        <v>151.31547917071438</v>
      </c>
      <c r="I1184">
        <f t="shared" si="18"/>
        <v>0</v>
      </c>
    </row>
    <row r="1185" spans="7:9" x14ac:dyDescent="0.15">
      <c r="G1185">
        <v>1166</v>
      </c>
      <c r="H1185">
        <v>-90.328297731027476</v>
      </c>
      <c r="I1185">
        <f t="shared" si="18"/>
        <v>1</v>
      </c>
    </row>
    <row r="1186" spans="7:9" x14ac:dyDescent="0.15">
      <c r="G1186">
        <v>1167</v>
      </c>
      <c r="H1186">
        <v>153.03284120380283</v>
      </c>
      <c r="I1186">
        <f t="shared" si="18"/>
        <v>0</v>
      </c>
    </row>
    <row r="1187" spans="7:9" x14ac:dyDescent="0.15">
      <c r="G1187">
        <v>1168</v>
      </c>
      <c r="H1187">
        <v>43.143513570843155</v>
      </c>
      <c r="I1187">
        <f t="shared" si="18"/>
        <v>0</v>
      </c>
    </row>
    <row r="1188" spans="7:9" x14ac:dyDescent="0.15">
      <c r="G1188">
        <v>1169</v>
      </c>
      <c r="H1188">
        <v>-174.04335910279192</v>
      </c>
      <c r="I1188">
        <f t="shared" si="18"/>
        <v>1</v>
      </c>
    </row>
    <row r="1189" spans="7:9" x14ac:dyDescent="0.15">
      <c r="G1189">
        <v>1170</v>
      </c>
      <c r="H1189">
        <v>-59.268080700833821</v>
      </c>
      <c r="I1189">
        <f t="shared" si="18"/>
        <v>1</v>
      </c>
    </row>
    <row r="1190" spans="7:9" x14ac:dyDescent="0.15">
      <c r="G1190">
        <v>1171</v>
      </c>
      <c r="H1190">
        <v>-234.9607480086359</v>
      </c>
      <c r="I1190">
        <f t="shared" si="18"/>
        <v>1</v>
      </c>
    </row>
    <row r="1191" spans="7:9" x14ac:dyDescent="0.15">
      <c r="G1191">
        <v>1172</v>
      </c>
      <c r="H1191">
        <v>-72.952402687187316</v>
      </c>
      <c r="I1191">
        <f t="shared" si="18"/>
        <v>1</v>
      </c>
    </row>
    <row r="1192" spans="7:9" x14ac:dyDescent="0.15">
      <c r="G1192">
        <v>1173</v>
      </c>
      <c r="H1192">
        <v>29.029550470665484</v>
      </c>
      <c r="I1192">
        <f t="shared" si="18"/>
        <v>0</v>
      </c>
    </row>
    <row r="1193" spans="7:9" x14ac:dyDescent="0.15">
      <c r="G1193">
        <v>1174</v>
      </c>
      <c r="H1193">
        <v>-300.99141278994188</v>
      </c>
      <c r="I1193">
        <f t="shared" si="18"/>
        <v>1</v>
      </c>
    </row>
    <row r="1194" spans="7:9" x14ac:dyDescent="0.15">
      <c r="G1194">
        <v>1175</v>
      </c>
      <c r="H1194">
        <v>243.64107990790257</v>
      </c>
      <c r="I1194">
        <f t="shared" si="18"/>
        <v>0</v>
      </c>
    </row>
    <row r="1195" spans="7:9" x14ac:dyDescent="0.15">
      <c r="G1195">
        <v>1176</v>
      </c>
      <c r="H1195">
        <v>2.0549823536143776</v>
      </c>
      <c r="I1195">
        <f t="shared" si="18"/>
        <v>0</v>
      </c>
    </row>
    <row r="1196" spans="7:9" x14ac:dyDescent="0.15">
      <c r="G1196">
        <v>1177</v>
      </c>
      <c r="H1196">
        <v>-93.664205797921625</v>
      </c>
      <c r="I1196">
        <f t="shared" si="18"/>
        <v>1</v>
      </c>
    </row>
    <row r="1197" spans="7:9" x14ac:dyDescent="0.15">
      <c r="G1197">
        <v>1178</v>
      </c>
      <c r="H1197">
        <v>430.59095317823119</v>
      </c>
      <c r="I1197">
        <f t="shared" si="18"/>
        <v>0</v>
      </c>
    </row>
    <row r="1198" spans="7:9" x14ac:dyDescent="0.15">
      <c r="G1198">
        <v>1179</v>
      </c>
      <c r="H1198">
        <v>-147.62506482239911</v>
      </c>
      <c r="I1198">
        <f t="shared" si="18"/>
        <v>1</v>
      </c>
    </row>
    <row r="1199" spans="7:9" x14ac:dyDescent="0.15">
      <c r="G1199">
        <v>1180</v>
      </c>
      <c r="H1199">
        <v>466.11296849247896</v>
      </c>
      <c r="I1199">
        <f t="shared" si="18"/>
        <v>0</v>
      </c>
    </row>
    <row r="1200" spans="7:9" x14ac:dyDescent="0.15">
      <c r="G1200">
        <v>1181</v>
      </c>
      <c r="H1200">
        <v>-26.780488155399027</v>
      </c>
      <c r="I1200">
        <f t="shared" si="18"/>
        <v>1</v>
      </c>
    </row>
    <row r="1201" spans="7:9" x14ac:dyDescent="0.15">
      <c r="G1201">
        <v>1182</v>
      </c>
      <c r="H1201">
        <v>497.51748830623364</v>
      </c>
      <c r="I1201">
        <f t="shared" si="18"/>
        <v>0</v>
      </c>
    </row>
    <row r="1202" spans="7:9" x14ac:dyDescent="0.15">
      <c r="G1202">
        <v>1183</v>
      </c>
      <c r="H1202">
        <v>-255.7508963693839</v>
      </c>
      <c r="I1202">
        <f t="shared" si="18"/>
        <v>1</v>
      </c>
    </row>
    <row r="1203" spans="7:9" x14ac:dyDescent="0.15">
      <c r="G1203">
        <v>1184</v>
      </c>
      <c r="H1203">
        <v>27.164580347610624</v>
      </c>
      <c r="I1203">
        <f t="shared" si="18"/>
        <v>0</v>
      </c>
    </row>
    <row r="1204" spans="7:9" x14ac:dyDescent="0.15">
      <c r="G1204">
        <v>1185</v>
      </c>
      <c r="H1204">
        <v>-78.760049159145836</v>
      </c>
      <c r="I1204">
        <f t="shared" si="18"/>
        <v>1</v>
      </c>
    </row>
    <row r="1205" spans="7:9" x14ac:dyDescent="0.15">
      <c r="G1205">
        <v>1186</v>
      </c>
      <c r="H1205">
        <v>334.79550562596302</v>
      </c>
      <c r="I1205">
        <f t="shared" si="18"/>
        <v>0</v>
      </c>
    </row>
    <row r="1206" spans="7:9" x14ac:dyDescent="0.15">
      <c r="G1206">
        <v>1187</v>
      </c>
      <c r="H1206">
        <v>-237.58643887835217</v>
      </c>
      <c r="I1206">
        <f t="shared" si="18"/>
        <v>1</v>
      </c>
    </row>
    <row r="1207" spans="7:9" x14ac:dyDescent="0.15">
      <c r="G1207">
        <v>1188</v>
      </c>
      <c r="H1207">
        <v>257.09119238752595</v>
      </c>
      <c r="I1207">
        <f t="shared" si="18"/>
        <v>0</v>
      </c>
    </row>
    <row r="1208" spans="7:9" x14ac:dyDescent="0.15">
      <c r="G1208">
        <v>1189</v>
      </c>
      <c r="H1208">
        <v>-127.07699418071968</v>
      </c>
      <c r="I1208">
        <f t="shared" si="18"/>
        <v>1</v>
      </c>
    </row>
    <row r="1209" spans="7:9" x14ac:dyDescent="0.15">
      <c r="G1209">
        <v>1190</v>
      </c>
      <c r="H1209">
        <v>658.11027773227579</v>
      </c>
      <c r="I1209">
        <f t="shared" si="18"/>
        <v>0</v>
      </c>
    </row>
    <row r="1210" spans="7:9" x14ac:dyDescent="0.15">
      <c r="G1210">
        <v>1191</v>
      </c>
      <c r="H1210">
        <v>-262.22500339408248</v>
      </c>
      <c r="I1210">
        <f t="shared" si="18"/>
        <v>1</v>
      </c>
    </row>
    <row r="1211" spans="7:9" x14ac:dyDescent="0.15">
      <c r="G1211">
        <v>1192</v>
      </c>
      <c r="H1211">
        <v>189.26399142143697</v>
      </c>
      <c r="I1211">
        <f t="shared" si="18"/>
        <v>0</v>
      </c>
    </row>
    <row r="1212" spans="7:9" x14ac:dyDescent="0.15">
      <c r="G1212">
        <v>1193</v>
      </c>
      <c r="H1212">
        <v>36.29419760224264</v>
      </c>
      <c r="I1212">
        <f t="shared" si="18"/>
        <v>0</v>
      </c>
    </row>
    <row r="1213" spans="7:9" x14ac:dyDescent="0.15">
      <c r="G1213">
        <v>1194</v>
      </c>
      <c r="H1213">
        <v>464.16514942814405</v>
      </c>
      <c r="I1213">
        <f t="shared" si="18"/>
        <v>0</v>
      </c>
    </row>
    <row r="1214" spans="7:9" x14ac:dyDescent="0.15">
      <c r="G1214">
        <v>1195</v>
      </c>
      <c r="H1214">
        <v>-142.04868457577805</v>
      </c>
      <c r="I1214">
        <f t="shared" si="18"/>
        <v>1</v>
      </c>
    </row>
    <row r="1215" spans="7:9" x14ac:dyDescent="0.15">
      <c r="G1215">
        <v>1196</v>
      </c>
      <c r="H1215">
        <v>29.180103359171653</v>
      </c>
      <c r="I1215">
        <f t="shared" si="18"/>
        <v>0</v>
      </c>
    </row>
    <row r="1216" spans="7:9" x14ac:dyDescent="0.15">
      <c r="G1216">
        <v>1197</v>
      </c>
      <c r="H1216">
        <v>21.397118524769141</v>
      </c>
      <c r="I1216">
        <f t="shared" si="18"/>
        <v>0</v>
      </c>
    </row>
    <row r="1217" spans="7:9" x14ac:dyDescent="0.15">
      <c r="G1217">
        <v>1198</v>
      </c>
      <c r="H1217">
        <v>-132.22313572742149</v>
      </c>
      <c r="I1217">
        <f t="shared" si="18"/>
        <v>1</v>
      </c>
    </row>
    <row r="1218" spans="7:9" x14ac:dyDescent="0.15">
      <c r="G1218">
        <v>1199</v>
      </c>
      <c r="H1218">
        <v>-81.358061645718379</v>
      </c>
      <c r="I1218">
        <f t="shared" si="18"/>
        <v>1</v>
      </c>
    </row>
    <row r="1219" spans="7:9" x14ac:dyDescent="0.15">
      <c r="G1219">
        <v>1200</v>
      </c>
      <c r="H1219">
        <v>74.756839786601461</v>
      </c>
      <c r="I1219">
        <f t="shared" si="18"/>
        <v>0</v>
      </c>
    </row>
    <row r="1220" spans="7:9" x14ac:dyDescent="0.15">
      <c r="G1220">
        <v>1201</v>
      </c>
      <c r="H1220">
        <v>184.72398774638114</v>
      </c>
      <c r="I1220">
        <f t="shared" si="18"/>
        <v>0</v>
      </c>
    </row>
    <row r="1221" spans="7:9" x14ac:dyDescent="0.15">
      <c r="G1221">
        <v>1202</v>
      </c>
      <c r="H1221">
        <v>275.84374123390592</v>
      </c>
      <c r="I1221">
        <f t="shared" si="18"/>
        <v>0</v>
      </c>
    </row>
    <row r="1222" spans="7:9" x14ac:dyDescent="0.15">
      <c r="G1222">
        <v>1203</v>
      </c>
      <c r="H1222">
        <v>98.183868173014687</v>
      </c>
      <c r="I1222">
        <f t="shared" si="18"/>
        <v>0</v>
      </c>
    </row>
    <row r="1223" spans="7:9" x14ac:dyDescent="0.15">
      <c r="G1223">
        <v>1204</v>
      </c>
      <c r="H1223">
        <v>497.4489880827141</v>
      </c>
      <c r="I1223">
        <f t="shared" si="18"/>
        <v>0</v>
      </c>
    </row>
    <row r="1224" spans="7:9" x14ac:dyDescent="0.15">
      <c r="G1224">
        <v>1205</v>
      </c>
      <c r="H1224">
        <v>-21.11491223795332</v>
      </c>
      <c r="I1224">
        <f t="shared" si="18"/>
        <v>1</v>
      </c>
    </row>
    <row r="1225" spans="7:9" x14ac:dyDescent="0.15">
      <c r="G1225">
        <v>1206</v>
      </c>
      <c r="H1225">
        <v>72.531164688063043</v>
      </c>
      <c r="I1225">
        <f t="shared" si="18"/>
        <v>0</v>
      </c>
    </row>
    <row r="1226" spans="7:9" x14ac:dyDescent="0.15">
      <c r="G1226">
        <v>1207</v>
      </c>
      <c r="H1226">
        <v>190.85536703553194</v>
      </c>
      <c r="I1226">
        <f t="shared" si="18"/>
        <v>0</v>
      </c>
    </row>
    <row r="1227" spans="7:9" x14ac:dyDescent="0.15">
      <c r="G1227">
        <v>1208</v>
      </c>
      <c r="H1227">
        <v>172.64938826681612</v>
      </c>
      <c r="I1227">
        <f t="shared" si="18"/>
        <v>0</v>
      </c>
    </row>
    <row r="1228" spans="7:9" x14ac:dyDescent="0.15">
      <c r="G1228">
        <v>1209</v>
      </c>
      <c r="H1228">
        <v>-22.85675331107339</v>
      </c>
      <c r="I1228">
        <f t="shared" si="18"/>
        <v>1</v>
      </c>
    </row>
    <row r="1229" spans="7:9" x14ac:dyDescent="0.15">
      <c r="G1229">
        <v>1210</v>
      </c>
      <c r="H1229">
        <v>-103.33127507146804</v>
      </c>
      <c r="I1229">
        <f t="shared" si="18"/>
        <v>1</v>
      </c>
    </row>
    <row r="1230" spans="7:9" x14ac:dyDescent="0.15">
      <c r="G1230">
        <v>1211</v>
      </c>
      <c r="H1230">
        <v>-199.54357056522758</v>
      </c>
      <c r="I1230">
        <f t="shared" si="18"/>
        <v>1</v>
      </c>
    </row>
    <row r="1231" spans="7:9" x14ac:dyDescent="0.15">
      <c r="G1231">
        <v>1212</v>
      </c>
      <c r="H1231">
        <v>368.85568078683463</v>
      </c>
      <c r="I1231">
        <f t="shared" si="18"/>
        <v>0</v>
      </c>
    </row>
    <row r="1232" spans="7:9" x14ac:dyDescent="0.15">
      <c r="G1232">
        <v>1213</v>
      </c>
      <c r="H1232">
        <v>352.50388348036313</v>
      </c>
      <c r="I1232">
        <f t="shared" si="18"/>
        <v>0</v>
      </c>
    </row>
    <row r="1233" spans="7:9" x14ac:dyDescent="0.15">
      <c r="G1233">
        <v>1214</v>
      </c>
      <c r="H1233">
        <v>-1.4540804497835751</v>
      </c>
      <c r="I1233">
        <f t="shared" si="18"/>
        <v>1</v>
      </c>
    </row>
    <row r="1234" spans="7:9" x14ac:dyDescent="0.15">
      <c r="G1234">
        <v>1215</v>
      </c>
      <c r="H1234">
        <v>566.73978744419139</v>
      </c>
      <c r="I1234">
        <f t="shared" si="18"/>
        <v>0</v>
      </c>
    </row>
    <row r="1235" spans="7:9" x14ac:dyDescent="0.15">
      <c r="G1235">
        <v>1216</v>
      </c>
      <c r="H1235">
        <v>193.81824055284596</v>
      </c>
      <c r="I1235">
        <f t="shared" si="18"/>
        <v>0</v>
      </c>
    </row>
    <row r="1236" spans="7:9" x14ac:dyDescent="0.15">
      <c r="G1236">
        <v>1217</v>
      </c>
      <c r="H1236">
        <v>-422.52035427479046</v>
      </c>
      <c r="I1236">
        <f t="shared" si="18"/>
        <v>1</v>
      </c>
    </row>
    <row r="1237" spans="7:9" x14ac:dyDescent="0.15">
      <c r="G1237">
        <v>1218</v>
      </c>
      <c r="H1237">
        <v>178.43320370012216</v>
      </c>
      <c r="I1237">
        <f t="shared" ref="I1237:I1300" si="19">IF(H1237&lt;0,1,0)</f>
        <v>0</v>
      </c>
    </row>
    <row r="1238" spans="7:9" x14ac:dyDescent="0.15">
      <c r="G1238">
        <v>1219</v>
      </c>
      <c r="H1238">
        <v>-5.8479883157826293</v>
      </c>
      <c r="I1238">
        <f t="shared" si="19"/>
        <v>1</v>
      </c>
    </row>
    <row r="1239" spans="7:9" x14ac:dyDescent="0.15">
      <c r="G1239">
        <v>1220</v>
      </c>
      <c r="H1239">
        <v>14.91488217621626</v>
      </c>
      <c r="I1239">
        <f t="shared" si="19"/>
        <v>0</v>
      </c>
    </row>
    <row r="1240" spans="7:9" x14ac:dyDescent="0.15">
      <c r="G1240">
        <v>1221</v>
      </c>
      <c r="H1240">
        <v>-24.313048973959212</v>
      </c>
      <c r="I1240">
        <f t="shared" si="19"/>
        <v>1</v>
      </c>
    </row>
    <row r="1241" spans="7:9" x14ac:dyDescent="0.15">
      <c r="G1241">
        <v>1222</v>
      </c>
      <c r="H1241">
        <v>-45.40649116820164</v>
      </c>
      <c r="I1241">
        <f t="shared" si="19"/>
        <v>1</v>
      </c>
    </row>
    <row r="1242" spans="7:9" x14ac:dyDescent="0.15">
      <c r="G1242">
        <v>1223</v>
      </c>
      <c r="H1242">
        <v>123.72293503871812</v>
      </c>
      <c r="I1242">
        <f t="shared" si="19"/>
        <v>0</v>
      </c>
    </row>
    <row r="1243" spans="7:9" x14ac:dyDescent="0.15">
      <c r="G1243">
        <v>1224</v>
      </c>
      <c r="H1243">
        <v>-64.150759531607335</v>
      </c>
      <c r="I1243">
        <f t="shared" si="19"/>
        <v>1</v>
      </c>
    </row>
    <row r="1244" spans="7:9" x14ac:dyDescent="0.15">
      <c r="G1244">
        <v>1225</v>
      </c>
      <c r="H1244">
        <v>91.999654331815861</v>
      </c>
      <c r="I1244">
        <f t="shared" si="19"/>
        <v>0</v>
      </c>
    </row>
    <row r="1245" spans="7:9" x14ac:dyDescent="0.15">
      <c r="G1245">
        <v>1226</v>
      </c>
      <c r="H1245">
        <v>-165.10635461582052</v>
      </c>
      <c r="I1245">
        <f t="shared" si="19"/>
        <v>1</v>
      </c>
    </row>
    <row r="1246" spans="7:9" x14ac:dyDescent="0.15">
      <c r="G1246">
        <v>1227</v>
      </c>
      <c r="H1246">
        <v>304.28120041045833</v>
      </c>
      <c r="I1246">
        <f t="shared" si="19"/>
        <v>0</v>
      </c>
    </row>
    <row r="1247" spans="7:9" x14ac:dyDescent="0.15">
      <c r="G1247">
        <v>1228</v>
      </c>
      <c r="H1247">
        <v>544.94821047352877</v>
      </c>
      <c r="I1247">
        <f t="shared" si="19"/>
        <v>0</v>
      </c>
    </row>
    <row r="1248" spans="7:9" x14ac:dyDescent="0.15">
      <c r="G1248">
        <v>1229</v>
      </c>
      <c r="H1248">
        <v>153.42604324314087</v>
      </c>
      <c r="I1248">
        <f t="shared" si="19"/>
        <v>0</v>
      </c>
    </row>
    <row r="1249" spans="7:9" x14ac:dyDescent="0.15">
      <c r="G1249">
        <v>1230</v>
      </c>
      <c r="H1249">
        <v>463.28252495785551</v>
      </c>
      <c r="I1249">
        <f t="shared" si="19"/>
        <v>0</v>
      </c>
    </row>
    <row r="1250" spans="7:9" x14ac:dyDescent="0.15">
      <c r="G1250">
        <v>1231</v>
      </c>
      <c r="H1250">
        <v>320.58426114538526</v>
      </c>
      <c r="I1250">
        <f t="shared" si="19"/>
        <v>0</v>
      </c>
    </row>
    <row r="1251" spans="7:9" x14ac:dyDescent="0.15">
      <c r="G1251">
        <v>1232</v>
      </c>
      <c r="H1251">
        <v>116.22202925389445</v>
      </c>
      <c r="I1251">
        <f t="shared" si="19"/>
        <v>0</v>
      </c>
    </row>
    <row r="1252" spans="7:9" x14ac:dyDescent="0.15">
      <c r="G1252">
        <v>1233</v>
      </c>
      <c r="H1252">
        <v>398.0204115162303</v>
      </c>
      <c r="I1252">
        <f t="shared" si="19"/>
        <v>0</v>
      </c>
    </row>
    <row r="1253" spans="7:9" x14ac:dyDescent="0.15">
      <c r="G1253">
        <v>1234</v>
      </c>
      <c r="H1253">
        <v>-246.36805347010664</v>
      </c>
      <c r="I1253">
        <f t="shared" si="19"/>
        <v>1</v>
      </c>
    </row>
    <row r="1254" spans="7:9" x14ac:dyDescent="0.15">
      <c r="G1254">
        <v>1235</v>
      </c>
      <c r="H1254">
        <v>-110.56160889870407</v>
      </c>
      <c r="I1254">
        <f t="shared" si="19"/>
        <v>1</v>
      </c>
    </row>
    <row r="1255" spans="7:9" x14ac:dyDescent="0.15">
      <c r="G1255">
        <v>1236</v>
      </c>
      <c r="H1255">
        <v>82.771884829324762</v>
      </c>
      <c r="I1255">
        <f t="shared" si="19"/>
        <v>0</v>
      </c>
    </row>
    <row r="1256" spans="7:9" x14ac:dyDescent="0.15">
      <c r="G1256">
        <v>1237</v>
      </c>
      <c r="H1256">
        <v>-193.81006593545584</v>
      </c>
      <c r="I1256">
        <f t="shared" si="19"/>
        <v>1</v>
      </c>
    </row>
    <row r="1257" spans="7:9" x14ac:dyDescent="0.15">
      <c r="G1257">
        <v>1238</v>
      </c>
      <c r="H1257">
        <v>110.25950301287486</v>
      </c>
      <c r="I1257">
        <f t="shared" si="19"/>
        <v>0</v>
      </c>
    </row>
    <row r="1258" spans="7:9" x14ac:dyDescent="0.15">
      <c r="G1258">
        <v>1239</v>
      </c>
      <c r="H1258">
        <v>251.53495700534225</v>
      </c>
      <c r="I1258">
        <f t="shared" si="19"/>
        <v>0</v>
      </c>
    </row>
    <row r="1259" spans="7:9" x14ac:dyDescent="0.15">
      <c r="G1259">
        <v>1240</v>
      </c>
      <c r="H1259">
        <v>-274.54648017491803</v>
      </c>
      <c r="I1259">
        <f t="shared" si="19"/>
        <v>1</v>
      </c>
    </row>
    <row r="1260" spans="7:9" x14ac:dyDescent="0.15">
      <c r="G1260">
        <v>1241</v>
      </c>
      <c r="H1260">
        <v>28.028488411790448</v>
      </c>
      <c r="I1260">
        <f t="shared" si="19"/>
        <v>0</v>
      </c>
    </row>
    <row r="1261" spans="7:9" x14ac:dyDescent="0.15">
      <c r="G1261">
        <v>1242</v>
      </c>
      <c r="H1261">
        <v>509.55616136461492</v>
      </c>
      <c r="I1261">
        <f t="shared" si="19"/>
        <v>0</v>
      </c>
    </row>
    <row r="1262" spans="7:9" x14ac:dyDescent="0.15">
      <c r="G1262">
        <v>1243</v>
      </c>
      <c r="H1262">
        <v>389.30694168530249</v>
      </c>
      <c r="I1262">
        <f t="shared" si="19"/>
        <v>0</v>
      </c>
    </row>
    <row r="1263" spans="7:9" x14ac:dyDescent="0.15">
      <c r="G1263">
        <v>1244</v>
      </c>
      <c r="H1263">
        <v>71.732704637711308</v>
      </c>
      <c r="I1263">
        <f t="shared" si="19"/>
        <v>0</v>
      </c>
    </row>
    <row r="1264" spans="7:9" x14ac:dyDescent="0.15">
      <c r="G1264">
        <v>1245</v>
      </c>
      <c r="H1264">
        <v>265.88792210802075</v>
      </c>
      <c r="I1264">
        <f t="shared" si="19"/>
        <v>0</v>
      </c>
    </row>
    <row r="1265" spans="7:9" x14ac:dyDescent="0.15">
      <c r="G1265">
        <v>1246</v>
      </c>
      <c r="H1265">
        <v>42.398476479470197</v>
      </c>
      <c r="I1265">
        <f t="shared" si="19"/>
        <v>0</v>
      </c>
    </row>
    <row r="1266" spans="7:9" x14ac:dyDescent="0.15">
      <c r="G1266">
        <v>1247</v>
      </c>
      <c r="H1266">
        <v>814.05489433857258</v>
      </c>
      <c r="I1266">
        <f t="shared" si="19"/>
        <v>0</v>
      </c>
    </row>
    <row r="1267" spans="7:9" x14ac:dyDescent="0.15">
      <c r="G1267">
        <v>1248</v>
      </c>
      <c r="H1267">
        <v>2.8336198039837512</v>
      </c>
      <c r="I1267">
        <f t="shared" si="19"/>
        <v>0</v>
      </c>
    </row>
    <row r="1268" spans="7:9" x14ac:dyDescent="0.15">
      <c r="G1268">
        <v>1249</v>
      </c>
      <c r="H1268">
        <v>295.77193755348185</v>
      </c>
      <c r="I1268">
        <f t="shared" si="19"/>
        <v>0</v>
      </c>
    </row>
    <row r="1269" spans="7:9" x14ac:dyDescent="0.15">
      <c r="G1269">
        <v>1250</v>
      </c>
      <c r="H1269">
        <v>-271.10159364001777</v>
      </c>
      <c r="I1269">
        <f t="shared" si="19"/>
        <v>1</v>
      </c>
    </row>
    <row r="1270" spans="7:9" x14ac:dyDescent="0.15">
      <c r="G1270">
        <v>1251</v>
      </c>
      <c r="H1270">
        <v>-74.445322342487913</v>
      </c>
      <c r="I1270">
        <f t="shared" si="19"/>
        <v>1</v>
      </c>
    </row>
    <row r="1271" spans="7:9" x14ac:dyDescent="0.15">
      <c r="G1271">
        <v>1252</v>
      </c>
      <c r="H1271">
        <v>161.68551274072507</v>
      </c>
      <c r="I1271">
        <f t="shared" si="19"/>
        <v>0</v>
      </c>
    </row>
    <row r="1272" spans="7:9" x14ac:dyDescent="0.15">
      <c r="G1272">
        <v>1253</v>
      </c>
      <c r="H1272">
        <v>-42.896863119581781</v>
      </c>
      <c r="I1272">
        <f t="shared" si="19"/>
        <v>1</v>
      </c>
    </row>
    <row r="1273" spans="7:9" x14ac:dyDescent="0.15">
      <c r="G1273">
        <v>1254</v>
      </c>
      <c r="H1273">
        <v>118.26910033646114</v>
      </c>
      <c r="I1273">
        <f t="shared" si="19"/>
        <v>0</v>
      </c>
    </row>
    <row r="1274" spans="7:9" x14ac:dyDescent="0.15">
      <c r="G1274">
        <v>1255</v>
      </c>
      <c r="H1274">
        <v>116.28638495336637</v>
      </c>
      <c r="I1274">
        <f t="shared" si="19"/>
        <v>0</v>
      </c>
    </row>
    <row r="1275" spans="7:9" x14ac:dyDescent="0.15">
      <c r="G1275">
        <v>1256</v>
      </c>
      <c r="H1275">
        <v>-376.88668954716456</v>
      </c>
      <c r="I1275">
        <f t="shared" si="19"/>
        <v>1</v>
      </c>
    </row>
    <row r="1276" spans="7:9" x14ac:dyDescent="0.15">
      <c r="G1276">
        <v>1257</v>
      </c>
      <c r="H1276">
        <v>66.312078542076961</v>
      </c>
      <c r="I1276">
        <f t="shared" si="19"/>
        <v>0</v>
      </c>
    </row>
    <row r="1277" spans="7:9" x14ac:dyDescent="0.15">
      <c r="G1277">
        <v>1258</v>
      </c>
      <c r="H1277">
        <v>174.86713908027502</v>
      </c>
      <c r="I1277">
        <f t="shared" si="19"/>
        <v>0</v>
      </c>
    </row>
    <row r="1278" spans="7:9" x14ac:dyDescent="0.15">
      <c r="G1278">
        <v>1259</v>
      </c>
      <c r="H1278">
        <v>234.90141963495341</v>
      </c>
      <c r="I1278">
        <f t="shared" si="19"/>
        <v>0</v>
      </c>
    </row>
    <row r="1279" spans="7:9" x14ac:dyDescent="0.15">
      <c r="G1279">
        <v>1260</v>
      </c>
      <c r="H1279">
        <v>137.24091112274584</v>
      </c>
      <c r="I1279">
        <f t="shared" si="19"/>
        <v>0</v>
      </c>
    </row>
    <row r="1280" spans="7:9" x14ac:dyDescent="0.15">
      <c r="G1280">
        <v>1261</v>
      </c>
      <c r="H1280">
        <v>152.07663754271834</v>
      </c>
      <c r="I1280">
        <f t="shared" si="19"/>
        <v>0</v>
      </c>
    </row>
    <row r="1281" spans="7:9" x14ac:dyDescent="0.15">
      <c r="G1281">
        <v>1262</v>
      </c>
      <c r="H1281">
        <v>-74.335072181684367</v>
      </c>
      <c r="I1281">
        <f t="shared" si="19"/>
        <v>1</v>
      </c>
    </row>
    <row r="1282" spans="7:9" x14ac:dyDescent="0.15">
      <c r="G1282">
        <v>1263</v>
      </c>
      <c r="H1282">
        <v>185.90616738731541</v>
      </c>
      <c r="I1282">
        <f t="shared" si="19"/>
        <v>0</v>
      </c>
    </row>
    <row r="1283" spans="7:9" x14ac:dyDescent="0.15">
      <c r="G1283">
        <v>1264</v>
      </c>
      <c r="H1283">
        <v>-69.648533954554836</v>
      </c>
      <c r="I1283">
        <f t="shared" si="19"/>
        <v>1</v>
      </c>
    </row>
    <row r="1284" spans="7:9" x14ac:dyDescent="0.15">
      <c r="G1284">
        <v>1265</v>
      </c>
      <c r="H1284">
        <v>235.72283060423052</v>
      </c>
      <c r="I1284">
        <f t="shared" si="19"/>
        <v>0</v>
      </c>
    </row>
    <row r="1285" spans="7:9" x14ac:dyDescent="0.15">
      <c r="G1285">
        <v>1266</v>
      </c>
      <c r="H1285">
        <v>132.80456870432923</v>
      </c>
      <c r="I1285">
        <f t="shared" si="19"/>
        <v>0</v>
      </c>
    </row>
    <row r="1286" spans="7:9" x14ac:dyDescent="0.15">
      <c r="G1286">
        <v>1267</v>
      </c>
      <c r="H1286">
        <v>75.711798498744173</v>
      </c>
      <c r="I1286">
        <f t="shared" si="19"/>
        <v>0</v>
      </c>
    </row>
    <row r="1287" spans="7:9" x14ac:dyDescent="0.15">
      <c r="G1287">
        <v>1268</v>
      </c>
      <c r="H1287">
        <v>169.07135157435749</v>
      </c>
      <c r="I1287">
        <f t="shared" si="19"/>
        <v>0</v>
      </c>
    </row>
    <row r="1288" spans="7:9" x14ac:dyDescent="0.15">
      <c r="G1288">
        <v>1269</v>
      </c>
      <c r="H1288">
        <v>16.905469703891967</v>
      </c>
      <c r="I1288">
        <f t="shared" si="19"/>
        <v>0</v>
      </c>
    </row>
    <row r="1289" spans="7:9" x14ac:dyDescent="0.15">
      <c r="G1289">
        <v>1270</v>
      </c>
      <c r="H1289">
        <v>118.80264869365436</v>
      </c>
      <c r="I1289">
        <f t="shared" si="19"/>
        <v>0</v>
      </c>
    </row>
    <row r="1290" spans="7:9" x14ac:dyDescent="0.15">
      <c r="G1290">
        <v>1271</v>
      </c>
      <c r="H1290">
        <v>146.69765223769491</v>
      </c>
      <c r="I1290">
        <f t="shared" si="19"/>
        <v>0</v>
      </c>
    </row>
    <row r="1291" spans="7:9" x14ac:dyDescent="0.15">
      <c r="G1291">
        <v>1272</v>
      </c>
      <c r="H1291">
        <v>-200.44649868293573</v>
      </c>
      <c r="I1291">
        <f t="shared" si="19"/>
        <v>1</v>
      </c>
    </row>
    <row r="1292" spans="7:9" x14ac:dyDescent="0.15">
      <c r="G1292">
        <v>1273</v>
      </c>
      <c r="H1292">
        <v>18.712073377283758</v>
      </c>
      <c r="I1292">
        <f t="shared" si="19"/>
        <v>0</v>
      </c>
    </row>
    <row r="1293" spans="7:9" x14ac:dyDescent="0.15">
      <c r="G1293">
        <v>1274</v>
      </c>
      <c r="H1293">
        <v>-238.1653398146662</v>
      </c>
      <c r="I1293">
        <f t="shared" si="19"/>
        <v>1</v>
      </c>
    </row>
    <row r="1294" spans="7:9" x14ac:dyDescent="0.15">
      <c r="G1294">
        <v>1275</v>
      </c>
      <c r="H1294">
        <v>-68.702693961007554</v>
      </c>
      <c r="I1294">
        <f t="shared" si="19"/>
        <v>1</v>
      </c>
    </row>
    <row r="1295" spans="7:9" x14ac:dyDescent="0.15">
      <c r="G1295">
        <v>1276</v>
      </c>
      <c r="H1295">
        <v>-43.365736807538113</v>
      </c>
      <c r="I1295">
        <f t="shared" si="19"/>
        <v>1</v>
      </c>
    </row>
    <row r="1296" spans="7:9" x14ac:dyDescent="0.15">
      <c r="G1296">
        <v>1277</v>
      </c>
      <c r="H1296">
        <v>-204.52261062055618</v>
      </c>
      <c r="I1296">
        <f t="shared" si="19"/>
        <v>1</v>
      </c>
    </row>
    <row r="1297" spans="7:9" x14ac:dyDescent="0.15">
      <c r="G1297">
        <v>1278</v>
      </c>
      <c r="H1297">
        <v>669.89390116424579</v>
      </c>
      <c r="I1297">
        <f t="shared" si="19"/>
        <v>0</v>
      </c>
    </row>
    <row r="1298" spans="7:9" x14ac:dyDescent="0.15">
      <c r="G1298">
        <v>1279</v>
      </c>
      <c r="H1298">
        <v>-242.99452598734604</v>
      </c>
      <c r="I1298">
        <f t="shared" si="19"/>
        <v>1</v>
      </c>
    </row>
    <row r="1299" spans="7:9" x14ac:dyDescent="0.15">
      <c r="G1299">
        <v>1280</v>
      </c>
      <c r="H1299">
        <v>-10.37930922534801</v>
      </c>
      <c r="I1299">
        <f t="shared" si="19"/>
        <v>1</v>
      </c>
    </row>
    <row r="1300" spans="7:9" x14ac:dyDescent="0.15">
      <c r="G1300">
        <v>1281</v>
      </c>
      <c r="H1300">
        <v>5.7680327234578499E-2</v>
      </c>
      <c r="I1300">
        <f t="shared" si="19"/>
        <v>0</v>
      </c>
    </row>
    <row r="1301" spans="7:9" x14ac:dyDescent="0.15">
      <c r="G1301">
        <v>1282</v>
      </c>
      <c r="H1301">
        <v>309.95585554090775</v>
      </c>
      <c r="I1301">
        <f t="shared" ref="I1301:I1364" si="20">IF(H1301&lt;0,1,0)</f>
        <v>0</v>
      </c>
    </row>
    <row r="1302" spans="7:9" x14ac:dyDescent="0.15">
      <c r="G1302">
        <v>1283</v>
      </c>
      <c r="H1302">
        <v>-129.47114216561653</v>
      </c>
      <c r="I1302">
        <f t="shared" si="20"/>
        <v>1</v>
      </c>
    </row>
    <row r="1303" spans="7:9" x14ac:dyDescent="0.15">
      <c r="G1303">
        <v>1284</v>
      </c>
      <c r="H1303">
        <v>18.816788514811037</v>
      </c>
      <c r="I1303">
        <f t="shared" si="20"/>
        <v>0</v>
      </c>
    </row>
    <row r="1304" spans="7:9" x14ac:dyDescent="0.15">
      <c r="G1304">
        <v>1285</v>
      </c>
      <c r="H1304">
        <v>98.397676182277522</v>
      </c>
      <c r="I1304">
        <f t="shared" si="20"/>
        <v>0</v>
      </c>
    </row>
    <row r="1305" spans="7:9" x14ac:dyDescent="0.15">
      <c r="G1305">
        <v>1286</v>
      </c>
      <c r="H1305">
        <v>-28.617845372673266</v>
      </c>
      <c r="I1305">
        <f t="shared" si="20"/>
        <v>1</v>
      </c>
    </row>
    <row r="1306" spans="7:9" x14ac:dyDescent="0.15">
      <c r="G1306">
        <v>1287</v>
      </c>
      <c r="H1306">
        <v>188.08632688385222</v>
      </c>
      <c r="I1306">
        <f t="shared" si="20"/>
        <v>0</v>
      </c>
    </row>
    <row r="1307" spans="7:9" x14ac:dyDescent="0.15">
      <c r="G1307">
        <v>1288</v>
      </c>
      <c r="H1307">
        <v>164.96943743564884</v>
      </c>
      <c r="I1307">
        <f t="shared" si="20"/>
        <v>0</v>
      </c>
    </row>
    <row r="1308" spans="7:9" x14ac:dyDescent="0.15">
      <c r="G1308">
        <v>1289</v>
      </c>
      <c r="H1308">
        <v>91.135731028697407</v>
      </c>
      <c r="I1308">
        <f t="shared" si="20"/>
        <v>0</v>
      </c>
    </row>
    <row r="1309" spans="7:9" x14ac:dyDescent="0.15">
      <c r="G1309">
        <v>1290</v>
      </c>
      <c r="H1309">
        <v>85.876345156082778</v>
      </c>
      <c r="I1309">
        <f t="shared" si="20"/>
        <v>0</v>
      </c>
    </row>
    <row r="1310" spans="7:9" x14ac:dyDescent="0.15">
      <c r="G1310">
        <v>1291</v>
      </c>
      <c r="H1310">
        <v>-230.46262084571276</v>
      </c>
      <c r="I1310">
        <f t="shared" si="20"/>
        <v>1</v>
      </c>
    </row>
    <row r="1311" spans="7:9" x14ac:dyDescent="0.15">
      <c r="G1311">
        <v>1292</v>
      </c>
      <c r="H1311">
        <v>58.594743143085637</v>
      </c>
      <c r="I1311">
        <f t="shared" si="20"/>
        <v>0</v>
      </c>
    </row>
    <row r="1312" spans="7:9" x14ac:dyDescent="0.15">
      <c r="G1312">
        <v>1293</v>
      </c>
      <c r="H1312">
        <v>-205.34178580778257</v>
      </c>
      <c r="I1312">
        <f t="shared" si="20"/>
        <v>1</v>
      </c>
    </row>
    <row r="1313" spans="7:9" x14ac:dyDescent="0.15">
      <c r="G1313">
        <v>1294</v>
      </c>
      <c r="H1313">
        <v>77.440729032450903</v>
      </c>
      <c r="I1313">
        <f t="shared" si="20"/>
        <v>0</v>
      </c>
    </row>
    <row r="1314" spans="7:9" x14ac:dyDescent="0.15">
      <c r="G1314">
        <v>1295</v>
      </c>
      <c r="H1314">
        <v>-18.30549861468414</v>
      </c>
      <c r="I1314">
        <f t="shared" si="20"/>
        <v>1</v>
      </c>
    </row>
    <row r="1315" spans="7:9" x14ac:dyDescent="0.15">
      <c r="G1315">
        <v>1296</v>
      </c>
      <c r="H1315">
        <v>-171.97288930471629</v>
      </c>
      <c r="I1315">
        <f t="shared" si="20"/>
        <v>1</v>
      </c>
    </row>
    <row r="1316" spans="7:9" x14ac:dyDescent="0.15">
      <c r="G1316">
        <v>1297</v>
      </c>
      <c r="H1316">
        <v>-223.23470207382312</v>
      </c>
      <c r="I1316">
        <f t="shared" si="20"/>
        <v>1</v>
      </c>
    </row>
    <row r="1317" spans="7:9" x14ac:dyDescent="0.15">
      <c r="G1317">
        <v>1298</v>
      </c>
      <c r="H1317">
        <v>-230.08300222228405</v>
      </c>
      <c r="I1317">
        <f t="shared" si="20"/>
        <v>1</v>
      </c>
    </row>
    <row r="1318" spans="7:9" x14ac:dyDescent="0.15">
      <c r="G1318">
        <v>1299</v>
      </c>
      <c r="H1318">
        <v>-158.07847276320069</v>
      </c>
      <c r="I1318">
        <f t="shared" si="20"/>
        <v>1</v>
      </c>
    </row>
    <row r="1319" spans="7:9" x14ac:dyDescent="0.15">
      <c r="G1319">
        <v>1300</v>
      </c>
      <c r="H1319">
        <v>21.751271188674409</v>
      </c>
      <c r="I1319">
        <f t="shared" si="20"/>
        <v>0</v>
      </c>
    </row>
    <row r="1320" spans="7:9" x14ac:dyDescent="0.15">
      <c r="G1320">
        <v>1301</v>
      </c>
      <c r="H1320">
        <v>110.83965417541339</v>
      </c>
      <c r="I1320">
        <f t="shared" si="20"/>
        <v>0</v>
      </c>
    </row>
    <row r="1321" spans="7:9" x14ac:dyDescent="0.15">
      <c r="G1321">
        <v>1302</v>
      </c>
      <c r="H1321">
        <v>-65.763216223515357</v>
      </c>
      <c r="I1321">
        <f t="shared" si="20"/>
        <v>1</v>
      </c>
    </row>
    <row r="1322" spans="7:9" x14ac:dyDescent="0.15">
      <c r="G1322">
        <v>1303</v>
      </c>
      <c r="H1322">
        <v>329.01281538268086</v>
      </c>
      <c r="I1322">
        <f t="shared" si="20"/>
        <v>0</v>
      </c>
    </row>
    <row r="1323" spans="7:9" x14ac:dyDescent="0.15">
      <c r="G1323">
        <v>1304</v>
      </c>
      <c r="H1323">
        <v>147.60496681176681</v>
      </c>
      <c r="I1323">
        <f t="shared" si="20"/>
        <v>0</v>
      </c>
    </row>
    <row r="1324" spans="7:9" x14ac:dyDescent="0.15">
      <c r="G1324">
        <v>1305</v>
      </c>
      <c r="H1324">
        <v>-19.064406925253557</v>
      </c>
      <c r="I1324">
        <f t="shared" si="20"/>
        <v>1</v>
      </c>
    </row>
    <row r="1325" spans="7:9" x14ac:dyDescent="0.15">
      <c r="G1325">
        <v>1306</v>
      </c>
      <c r="H1325">
        <v>-141.44787774825528</v>
      </c>
      <c r="I1325">
        <f t="shared" si="20"/>
        <v>1</v>
      </c>
    </row>
    <row r="1326" spans="7:9" x14ac:dyDescent="0.15">
      <c r="G1326">
        <v>1307</v>
      </c>
      <c r="H1326">
        <v>310.96174140412501</v>
      </c>
      <c r="I1326">
        <f t="shared" si="20"/>
        <v>0</v>
      </c>
    </row>
    <row r="1327" spans="7:9" x14ac:dyDescent="0.15">
      <c r="G1327">
        <v>1308</v>
      </c>
      <c r="H1327">
        <v>109.95911462911559</v>
      </c>
      <c r="I1327">
        <f t="shared" si="20"/>
        <v>0</v>
      </c>
    </row>
    <row r="1328" spans="7:9" x14ac:dyDescent="0.15">
      <c r="G1328">
        <v>1309</v>
      </c>
      <c r="H1328">
        <v>165.5743836308107</v>
      </c>
      <c r="I1328">
        <f t="shared" si="20"/>
        <v>0</v>
      </c>
    </row>
    <row r="1329" spans="7:9" x14ac:dyDescent="0.15">
      <c r="G1329">
        <v>1310</v>
      </c>
      <c r="H1329">
        <v>441.68481842711651</v>
      </c>
      <c r="I1329">
        <f t="shared" si="20"/>
        <v>0</v>
      </c>
    </row>
    <row r="1330" spans="7:9" x14ac:dyDescent="0.15">
      <c r="G1330">
        <v>1311</v>
      </c>
      <c r="H1330">
        <v>-30.29075583754701</v>
      </c>
      <c r="I1330">
        <f t="shared" si="20"/>
        <v>1</v>
      </c>
    </row>
    <row r="1331" spans="7:9" x14ac:dyDescent="0.15">
      <c r="G1331">
        <v>1312</v>
      </c>
      <c r="H1331">
        <v>25.463575504359774</v>
      </c>
      <c r="I1331">
        <f t="shared" si="20"/>
        <v>0</v>
      </c>
    </row>
    <row r="1332" spans="7:9" x14ac:dyDescent="0.15">
      <c r="G1332">
        <v>1313</v>
      </c>
      <c r="H1332">
        <v>-94.613036448773215</v>
      </c>
      <c r="I1332">
        <f t="shared" si="20"/>
        <v>1</v>
      </c>
    </row>
    <row r="1333" spans="7:9" x14ac:dyDescent="0.15">
      <c r="G1333">
        <v>1314</v>
      </c>
      <c r="H1333">
        <v>-148.81618837482449</v>
      </c>
      <c r="I1333">
        <f t="shared" si="20"/>
        <v>1</v>
      </c>
    </row>
    <row r="1334" spans="7:9" x14ac:dyDescent="0.15">
      <c r="G1334">
        <v>1315</v>
      </c>
      <c r="H1334">
        <v>39.176118856048873</v>
      </c>
      <c r="I1334">
        <f t="shared" si="20"/>
        <v>0</v>
      </c>
    </row>
    <row r="1335" spans="7:9" x14ac:dyDescent="0.15">
      <c r="G1335">
        <v>1316</v>
      </c>
      <c r="H1335">
        <v>514.64232546619996</v>
      </c>
      <c r="I1335">
        <f t="shared" si="20"/>
        <v>0</v>
      </c>
    </row>
    <row r="1336" spans="7:9" x14ac:dyDescent="0.15">
      <c r="G1336">
        <v>1317</v>
      </c>
      <c r="H1336">
        <v>520.45354586186033</v>
      </c>
      <c r="I1336">
        <f t="shared" si="20"/>
        <v>0</v>
      </c>
    </row>
    <row r="1337" spans="7:9" x14ac:dyDescent="0.15">
      <c r="G1337">
        <v>1318</v>
      </c>
      <c r="H1337">
        <v>-198.45313045235437</v>
      </c>
      <c r="I1337">
        <f t="shared" si="20"/>
        <v>1</v>
      </c>
    </row>
    <row r="1338" spans="7:9" x14ac:dyDescent="0.15">
      <c r="G1338">
        <v>1319</v>
      </c>
      <c r="H1338">
        <v>806.59513343394644</v>
      </c>
      <c r="I1338">
        <f t="shared" si="20"/>
        <v>0</v>
      </c>
    </row>
    <row r="1339" spans="7:9" x14ac:dyDescent="0.15">
      <c r="G1339">
        <v>1320</v>
      </c>
      <c r="H1339">
        <v>154.01958616108641</v>
      </c>
      <c r="I1339">
        <f t="shared" si="20"/>
        <v>0</v>
      </c>
    </row>
    <row r="1340" spans="7:9" x14ac:dyDescent="0.15">
      <c r="G1340">
        <v>1321</v>
      </c>
      <c r="H1340">
        <v>157.39577495594688</v>
      </c>
      <c r="I1340">
        <f t="shared" si="20"/>
        <v>0</v>
      </c>
    </row>
    <row r="1341" spans="7:9" x14ac:dyDescent="0.15">
      <c r="G1341">
        <v>1322</v>
      </c>
      <c r="H1341">
        <v>-196.08871794105067</v>
      </c>
      <c r="I1341">
        <f t="shared" si="20"/>
        <v>1</v>
      </c>
    </row>
    <row r="1342" spans="7:9" x14ac:dyDescent="0.15">
      <c r="G1342">
        <v>1323</v>
      </c>
      <c r="H1342">
        <v>22.515516899913955</v>
      </c>
      <c r="I1342">
        <f t="shared" si="20"/>
        <v>0</v>
      </c>
    </row>
    <row r="1343" spans="7:9" x14ac:dyDescent="0.15">
      <c r="G1343">
        <v>1324</v>
      </c>
      <c r="H1343">
        <v>598.16977229774739</v>
      </c>
      <c r="I1343">
        <f t="shared" si="20"/>
        <v>0</v>
      </c>
    </row>
    <row r="1344" spans="7:9" x14ac:dyDescent="0.15">
      <c r="G1344">
        <v>1325</v>
      </c>
      <c r="H1344">
        <v>195.91990272844788</v>
      </c>
      <c r="I1344">
        <f t="shared" si="20"/>
        <v>0</v>
      </c>
    </row>
    <row r="1345" spans="7:9" x14ac:dyDescent="0.15">
      <c r="G1345">
        <v>1326</v>
      </c>
      <c r="H1345">
        <v>-32.471956840618319</v>
      </c>
      <c r="I1345">
        <f t="shared" si="20"/>
        <v>1</v>
      </c>
    </row>
    <row r="1346" spans="7:9" x14ac:dyDescent="0.15">
      <c r="G1346">
        <v>1327</v>
      </c>
      <c r="H1346">
        <v>18.391045091921654</v>
      </c>
      <c r="I1346">
        <f t="shared" si="20"/>
        <v>0</v>
      </c>
    </row>
    <row r="1347" spans="7:9" x14ac:dyDescent="0.15">
      <c r="G1347">
        <v>1328</v>
      </c>
      <c r="H1347">
        <v>261.89712703419207</v>
      </c>
      <c r="I1347">
        <f t="shared" si="20"/>
        <v>0</v>
      </c>
    </row>
    <row r="1348" spans="7:9" x14ac:dyDescent="0.15">
      <c r="G1348">
        <v>1329</v>
      </c>
      <c r="H1348">
        <v>-223.79636060433543</v>
      </c>
      <c r="I1348">
        <f t="shared" si="20"/>
        <v>1</v>
      </c>
    </row>
    <row r="1349" spans="7:9" x14ac:dyDescent="0.15">
      <c r="G1349">
        <v>1330</v>
      </c>
      <c r="H1349">
        <v>236.64671361668968</v>
      </c>
      <c r="I1349">
        <f t="shared" si="20"/>
        <v>0</v>
      </c>
    </row>
    <row r="1350" spans="7:9" x14ac:dyDescent="0.15">
      <c r="G1350">
        <v>1331</v>
      </c>
      <c r="H1350">
        <v>209.37801244029006</v>
      </c>
      <c r="I1350">
        <f t="shared" si="20"/>
        <v>0</v>
      </c>
    </row>
    <row r="1351" spans="7:9" x14ac:dyDescent="0.15">
      <c r="G1351">
        <v>1332</v>
      </c>
      <c r="H1351">
        <v>-253.62554580572402</v>
      </c>
      <c r="I1351">
        <f t="shared" si="20"/>
        <v>1</v>
      </c>
    </row>
    <row r="1352" spans="7:9" x14ac:dyDescent="0.15">
      <c r="G1352">
        <v>1333</v>
      </c>
      <c r="H1352">
        <v>219.43985167213498</v>
      </c>
      <c r="I1352">
        <f t="shared" si="20"/>
        <v>0</v>
      </c>
    </row>
    <row r="1353" spans="7:9" x14ac:dyDescent="0.15">
      <c r="G1353">
        <v>1334</v>
      </c>
      <c r="H1353">
        <v>-72.217810666837806</v>
      </c>
      <c r="I1353">
        <f t="shared" si="20"/>
        <v>1</v>
      </c>
    </row>
    <row r="1354" spans="7:9" x14ac:dyDescent="0.15">
      <c r="G1354">
        <v>1335</v>
      </c>
      <c r="H1354">
        <v>-23.811379035231369</v>
      </c>
      <c r="I1354">
        <f t="shared" si="20"/>
        <v>1</v>
      </c>
    </row>
    <row r="1355" spans="7:9" x14ac:dyDescent="0.15">
      <c r="G1355">
        <v>1336</v>
      </c>
      <c r="H1355">
        <v>268.31106444559748</v>
      </c>
      <c r="I1355">
        <f t="shared" si="20"/>
        <v>0</v>
      </c>
    </row>
    <row r="1356" spans="7:9" x14ac:dyDescent="0.15">
      <c r="G1356">
        <v>1337</v>
      </c>
      <c r="H1356">
        <v>73.686477006731849</v>
      </c>
      <c r="I1356">
        <f t="shared" si="20"/>
        <v>0</v>
      </c>
    </row>
    <row r="1357" spans="7:9" x14ac:dyDescent="0.15">
      <c r="G1357">
        <v>1338</v>
      </c>
      <c r="H1357">
        <v>114.42550972449214</v>
      </c>
      <c r="I1357">
        <f t="shared" si="20"/>
        <v>0</v>
      </c>
    </row>
    <row r="1358" spans="7:9" x14ac:dyDescent="0.15">
      <c r="G1358">
        <v>1339</v>
      </c>
      <c r="H1358">
        <v>24.242911093748077</v>
      </c>
      <c r="I1358">
        <f t="shared" si="20"/>
        <v>0</v>
      </c>
    </row>
    <row r="1359" spans="7:9" x14ac:dyDescent="0.15">
      <c r="G1359">
        <v>1340</v>
      </c>
      <c r="H1359">
        <v>355.63114918223448</v>
      </c>
      <c r="I1359">
        <f t="shared" si="20"/>
        <v>0</v>
      </c>
    </row>
    <row r="1360" spans="7:9" x14ac:dyDescent="0.15">
      <c r="G1360">
        <v>1341</v>
      </c>
      <c r="H1360">
        <v>605.91508875704369</v>
      </c>
      <c r="I1360">
        <f t="shared" si="20"/>
        <v>0</v>
      </c>
    </row>
    <row r="1361" spans="7:9" x14ac:dyDescent="0.15">
      <c r="G1361">
        <v>1342</v>
      </c>
      <c r="H1361">
        <v>-201.48140463725514</v>
      </c>
      <c r="I1361">
        <f t="shared" si="20"/>
        <v>1</v>
      </c>
    </row>
    <row r="1362" spans="7:9" x14ac:dyDescent="0.15">
      <c r="G1362">
        <v>1343</v>
      </c>
      <c r="H1362">
        <v>-22.728293676625853</v>
      </c>
      <c r="I1362">
        <f t="shared" si="20"/>
        <v>1</v>
      </c>
    </row>
    <row r="1363" spans="7:9" x14ac:dyDescent="0.15">
      <c r="G1363">
        <v>1344</v>
      </c>
      <c r="H1363">
        <v>-88.773363432309409</v>
      </c>
      <c r="I1363">
        <f t="shared" si="20"/>
        <v>1</v>
      </c>
    </row>
    <row r="1364" spans="7:9" x14ac:dyDescent="0.15">
      <c r="G1364">
        <v>1345</v>
      </c>
      <c r="H1364">
        <v>-140.19507722725081</v>
      </c>
      <c r="I1364">
        <f t="shared" si="20"/>
        <v>1</v>
      </c>
    </row>
    <row r="1365" spans="7:9" x14ac:dyDescent="0.15">
      <c r="G1365">
        <v>1346</v>
      </c>
      <c r="H1365">
        <v>254.95346018671708</v>
      </c>
      <c r="I1365">
        <f t="shared" ref="I1365:I1428" si="21">IF(H1365&lt;0,1,0)</f>
        <v>0</v>
      </c>
    </row>
    <row r="1366" spans="7:9" x14ac:dyDescent="0.15">
      <c r="G1366">
        <v>1347</v>
      </c>
      <c r="H1366">
        <v>-234.28582966674432</v>
      </c>
      <c r="I1366">
        <f t="shared" si="21"/>
        <v>1</v>
      </c>
    </row>
    <row r="1367" spans="7:9" x14ac:dyDescent="0.15">
      <c r="G1367">
        <v>1348</v>
      </c>
      <c r="H1367">
        <v>-97.993161848380296</v>
      </c>
      <c r="I1367">
        <f t="shared" si="21"/>
        <v>1</v>
      </c>
    </row>
    <row r="1368" spans="7:9" x14ac:dyDescent="0.15">
      <c r="G1368">
        <v>1349</v>
      </c>
      <c r="H1368">
        <v>21.630707103466534</v>
      </c>
      <c r="I1368">
        <f t="shared" si="21"/>
        <v>0</v>
      </c>
    </row>
    <row r="1369" spans="7:9" x14ac:dyDescent="0.15">
      <c r="G1369">
        <v>1350</v>
      </c>
      <c r="H1369">
        <v>-218.66129640221857</v>
      </c>
      <c r="I1369">
        <f t="shared" si="21"/>
        <v>1</v>
      </c>
    </row>
    <row r="1370" spans="7:9" x14ac:dyDescent="0.15">
      <c r="G1370">
        <v>1351</v>
      </c>
      <c r="H1370">
        <v>517.98692986222272</v>
      </c>
      <c r="I1370">
        <f t="shared" si="21"/>
        <v>0</v>
      </c>
    </row>
    <row r="1371" spans="7:9" x14ac:dyDescent="0.15">
      <c r="G1371">
        <v>1352</v>
      </c>
      <c r="H1371">
        <v>164.11791260435297</v>
      </c>
      <c r="I1371">
        <f t="shared" si="21"/>
        <v>0</v>
      </c>
    </row>
    <row r="1372" spans="7:9" x14ac:dyDescent="0.15">
      <c r="G1372">
        <v>1353</v>
      </c>
      <c r="H1372">
        <v>-83.055226517737282</v>
      </c>
      <c r="I1372">
        <f t="shared" si="21"/>
        <v>1</v>
      </c>
    </row>
    <row r="1373" spans="7:9" x14ac:dyDescent="0.15">
      <c r="G1373">
        <v>1354</v>
      </c>
      <c r="H1373">
        <v>180.30403550390253</v>
      </c>
      <c r="I1373">
        <f t="shared" si="21"/>
        <v>0</v>
      </c>
    </row>
    <row r="1374" spans="7:9" x14ac:dyDescent="0.15">
      <c r="G1374">
        <v>1355</v>
      </c>
      <c r="H1374">
        <v>-204.34762124222271</v>
      </c>
      <c r="I1374">
        <f t="shared" si="21"/>
        <v>1</v>
      </c>
    </row>
    <row r="1375" spans="7:9" x14ac:dyDescent="0.15">
      <c r="G1375">
        <v>1356</v>
      </c>
      <c r="H1375">
        <v>-189.25828913594728</v>
      </c>
      <c r="I1375">
        <f t="shared" si="21"/>
        <v>1</v>
      </c>
    </row>
    <row r="1376" spans="7:9" x14ac:dyDescent="0.15">
      <c r="G1376">
        <v>1357</v>
      </c>
      <c r="H1376">
        <v>347.93288419250501</v>
      </c>
      <c r="I1376">
        <f t="shared" si="21"/>
        <v>0</v>
      </c>
    </row>
    <row r="1377" spans="7:9" x14ac:dyDescent="0.15">
      <c r="G1377">
        <v>1358</v>
      </c>
      <c r="H1377">
        <v>-73.251978647189489</v>
      </c>
      <c r="I1377">
        <f t="shared" si="21"/>
        <v>1</v>
      </c>
    </row>
    <row r="1378" spans="7:9" x14ac:dyDescent="0.15">
      <c r="G1378">
        <v>1359</v>
      </c>
      <c r="H1378">
        <v>93.369620459487479</v>
      </c>
      <c r="I1378">
        <f t="shared" si="21"/>
        <v>0</v>
      </c>
    </row>
    <row r="1379" spans="7:9" x14ac:dyDescent="0.15">
      <c r="G1379">
        <v>1360</v>
      </c>
      <c r="H1379">
        <v>-124.06046020028361</v>
      </c>
      <c r="I1379">
        <f t="shared" si="21"/>
        <v>1</v>
      </c>
    </row>
    <row r="1380" spans="7:9" x14ac:dyDescent="0.15">
      <c r="G1380">
        <v>1361</v>
      </c>
      <c r="H1380">
        <v>118.22194958215485</v>
      </c>
      <c r="I1380">
        <f t="shared" si="21"/>
        <v>0</v>
      </c>
    </row>
    <row r="1381" spans="7:9" x14ac:dyDescent="0.15">
      <c r="G1381">
        <v>1362</v>
      </c>
      <c r="H1381">
        <v>176.54289129091541</v>
      </c>
      <c r="I1381">
        <f t="shared" si="21"/>
        <v>0</v>
      </c>
    </row>
    <row r="1382" spans="7:9" x14ac:dyDescent="0.15">
      <c r="G1382">
        <v>1363</v>
      </c>
      <c r="H1382">
        <v>68.944889332315071</v>
      </c>
      <c r="I1382">
        <f t="shared" si="21"/>
        <v>0</v>
      </c>
    </row>
    <row r="1383" spans="7:9" x14ac:dyDescent="0.15">
      <c r="G1383">
        <v>1364</v>
      </c>
      <c r="H1383">
        <v>-338.80807328521934</v>
      </c>
      <c r="I1383">
        <f t="shared" si="21"/>
        <v>1</v>
      </c>
    </row>
    <row r="1384" spans="7:9" x14ac:dyDescent="0.15">
      <c r="G1384">
        <v>1365</v>
      </c>
      <c r="H1384">
        <v>737.66871698786235</v>
      </c>
      <c r="I1384">
        <f t="shared" si="21"/>
        <v>0</v>
      </c>
    </row>
    <row r="1385" spans="7:9" x14ac:dyDescent="0.15">
      <c r="G1385">
        <v>1366</v>
      </c>
      <c r="H1385">
        <v>382.53873416585668</v>
      </c>
      <c r="I1385">
        <f t="shared" si="21"/>
        <v>0</v>
      </c>
    </row>
    <row r="1386" spans="7:9" x14ac:dyDescent="0.15">
      <c r="G1386">
        <v>1367</v>
      </c>
      <c r="H1386">
        <v>-49.189950724708225</v>
      </c>
      <c r="I1386">
        <f t="shared" si="21"/>
        <v>1</v>
      </c>
    </row>
    <row r="1387" spans="7:9" x14ac:dyDescent="0.15">
      <c r="G1387">
        <v>1368</v>
      </c>
      <c r="H1387">
        <v>109.01068714045707</v>
      </c>
      <c r="I1387">
        <f t="shared" si="21"/>
        <v>0</v>
      </c>
    </row>
    <row r="1388" spans="7:9" x14ac:dyDescent="0.15">
      <c r="G1388">
        <v>1369</v>
      </c>
      <c r="H1388">
        <v>216.94092022833252</v>
      </c>
      <c r="I1388">
        <f t="shared" si="21"/>
        <v>0</v>
      </c>
    </row>
    <row r="1389" spans="7:9" x14ac:dyDescent="0.15">
      <c r="G1389">
        <v>1370</v>
      </c>
      <c r="H1389">
        <v>171.31053733209751</v>
      </c>
      <c r="I1389">
        <f t="shared" si="21"/>
        <v>0</v>
      </c>
    </row>
    <row r="1390" spans="7:9" x14ac:dyDescent="0.15">
      <c r="G1390">
        <v>1371</v>
      </c>
      <c r="H1390">
        <v>273.77986284691031</v>
      </c>
      <c r="I1390">
        <f t="shared" si="21"/>
        <v>0</v>
      </c>
    </row>
    <row r="1391" spans="7:9" x14ac:dyDescent="0.15">
      <c r="G1391">
        <v>1372</v>
      </c>
      <c r="H1391">
        <v>764.21054066252918</v>
      </c>
      <c r="I1391">
        <f t="shared" si="21"/>
        <v>0</v>
      </c>
    </row>
    <row r="1392" spans="7:9" x14ac:dyDescent="0.15">
      <c r="G1392">
        <v>1373</v>
      </c>
      <c r="H1392">
        <v>-27.618192880636592</v>
      </c>
      <c r="I1392">
        <f t="shared" si="21"/>
        <v>1</v>
      </c>
    </row>
    <row r="1393" spans="7:9" x14ac:dyDescent="0.15">
      <c r="G1393">
        <v>1374</v>
      </c>
      <c r="H1393">
        <v>-27.876902853853281</v>
      </c>
      <c r="I1393">
        <f t="shared" si="21"/>
        <v>1</v>
      </c>
    </row>
    <row r="1394" spans="7:9" x14ac:dyDescent="0.15">
      <c r="G1394">
        <v>1375</v>
      </c>
      <c r="H1394">
        <v>-236.861991446449</v>
      </c>
      <c r="I1394">
        <f t="shared" si="21"/>
        <v>1</v>
      </c>
    </row>
    <row r="1395" spans="7:9" x14ac:dyDescent="0.15">
      <c r="G1395">
        <v>1376</v>
      </c>
      <c r="H1395">
        <v>-105.57986138232846</v>
      </c>
      <c r="I1395">
        <f t="shared" si="21"/>
        <v>1</v>
      </c>
    </row>
    <row r="1396" spans="7:9" x14ac:dyDescent="0.15">
      <c r="G1396">
        <v>1377</v>
      </c>
      <c r="H1396">
        <v>15.523699219954437</v>
      </c>
      <c r="I1396">
        <f t="shared" si="21"/>
        <v>0</v>
      </c>
    </row>
    <row r="1397" spans="7:9" x14ac:dyDescent="0.15">
      <c r="G1397">
        <v>1378</v>
      </c>
      <c r="H1397">
        <v>-274.94584131843533</v>
      </c>
      <c r="I1397">
        <f t="shared" si="21"/>
        <v>1</v>
      </c>
    </row>
    <row r="1398" spans="7:9" x14ac:dyDescent="0.15">
      <c r="G1398">
        <v>1379</v>
      </c>
      <c r="H1398">
        <v>-223.63121611333131</v>
      </c>
      <c r="I1398">
        <f t="shared" si="21"/>
        <v>1</v>
      </c>
    </row>
    <row r="1399" spans="7:9" x14ac:dyDescent="0.15">
      <c r="G1399">
        <v>1380</v>
      </c>
      <c r="H1399">
        <v>15.826387538913153</v>
      </c>
      <c r="I1399">
        <f t="shared" si="21"/>
        <v>0</v>
      </c>
    </row>
    <row r="1400" spans="7:9" x14ac:dyDescent="0.15">
      <c r="G1400">
        <v>1381</v>
      </c>
      <c r="H1400">
        <v>374.52413185658736</v>
      </c>
      <c r="I1400">
        <f t="shared" si="21"/>
        <v>0</v>
      </c>
    </row>
    <row r="1401" spans="7:9" x14ac:dyDescent="0.15">
      <c r="G1401">
        <v>1382</v>
      </c>
      <c r="H1401">
        <v>251.06716352954862</v>
      </c>
      <c r="I1401">
        <f t="shared" si="21"/>
        <v>0</v>
      </c>
    </row>
    <row r="1402" spans="7:9" x14ac:dyDescent="0.15">
      <c r="G1402">
        <v>1383</v>
      </c>
      <c r="H1402">
        <v>-159.9586503347287</v>
      </c>
      <c r="I1402">
        <f t="shared" si="21"/>
        <v>1</v>
      </c>
    </row>
    <row r="1403" spans="7:9" x14ac:dyDescent="0.15">
      <c r="G1403">
        <v>1384</v>
      </c>
      <c r="H1403">
        <v>161.5877720746812</v>
      </c>
      <c r="I1403">
        <f t="shared" si="21"/>
        <v>0</v>
      </c>
    </row>
    <row r="1404" spans="7:9" x14ac:dyDescent="0.15">
      <c r="G1404">
        <v>1385</v>
      </c>
      <c r="H1404">
        <v>-74.54119725493797</v>
      </c>
      <c r="I1404">
        <f t="shared" si="21"/>
        <v>1</v>
      </c>
    </row>
    <row r="1405" spans="7:9" x14ac:dyDescent="0.15">
      <c r="G1405">
        <v>1386</v>
      </c>
      <c r="H1405">
        <v>-272.98655391914542</v>
      </c>
      <c r="I1405">
        <f t="shared" si="21"/>
        <v>1</v>
      </c>
    </row>
    <row r="1406" spans="7:9" x14ac:dyDescent="0.15">
      <c r="G1406">
        <v>1387</v>
      </c>
      <c r="H1406">
        <v>67.723278177773267</v>
      </c>
      <c r="I1406">
        <f t="shared" si="21"/>
        <v>0</v>
      </c>
    </row>
    <row r="1407" spans="7:9" x14ac:dyDescent="0.15">
      <c r="G1407">
        <v>1388</v>
      </c>
      <c r="H1407">
        <v>2.4118258157622208</v>
      </c>
      <c r="I1407">
        <f t="shared" si="21"/>
        <v>0</v>
      </c>
    </row>
    <row r="1408" spans="7:9" x14ac:dyDescent="0.15">
      <c r="G1408">
        <v>1389</v>
      </c>
      <c r="H1408">
        <v>143.73017052212654</v>
      </c>
      <c r="I1408">
        <f t="shared" si="21"/>
        <v>0</v>
      </c>
    </row>
    <row r="1409" spans="7:9" x14ac:dyDescent="0.15">
      <c r="G1409">
        <v>1390</v>
      </c>
      <c r="H1409">
        <v>-424.92536224762466</v>
      </c>
      <c r="I1409">
        <f t="shared" si="21"/>
        <v>1</v>
      </c>
    </row>
    <row r="1410" spans="7:9" x14ac:dyDescent="0.15">
      <c r="G1410">
        <v>1391</v>
      </c>
      <c r="H1410">
        <v>197.44707106296849</v>
      </c>
      <c r="I1410">
        <f t="shared" si="21"/>
        <v>0</v>
      </c>
    </row>
    <row r="1411" spans="7:9" x14ac:dyDescent="0.15">
      <c r="G1411">
        <v>1392</v>
      </c>
      <c r="H1411">
        <v>122.22720372970946</v>
      </c>
      <c r="I1411">
        <f t="shared" si="21"/>
        <v>0</v>
      </c>
    </row>
    <row r="1412" spans="7:9" x14ac:dyDescent="0.15">
      <c r="G1412">
        <v>1393</v>
      </c>
      <c r="H1412">
        <v>14.127276900399593</v>
      </c>
      <c r="I1412">
        <f t="shared" si="21"/>
        <v>0</v>
      </c>
    </row>
    <row r="1413" spans="7:9" x14ac:dyDescent="0.15">
      <c r="G1413">
        <v>1394</v>
      </c>
      <c r="H1413">
        <v>27.716619472652738</v>
      </c>
      <c r="I1413">
        <f t="shared" si="21"/>
        <v>0</v>
      </c>
    </row>
    <row r="1414" spans="7:9" x14ac:dyDescent="0.15">
      <c r="G1414">
        <v>1395</v>
      </c>
      <c r="H1414">
        <v>85.16888637354748</v>
      </c>
      <c r="I1414">
        <f t="shared" si="21"/>
        <v>0</v>
      </c>
    </row>
    <row r="1415" spans="7:9" x14ac:dyDescent="0.15">
      <c r="G1415">
        <v>1396</v>
      </c>
      <c r="H1415">
        <v>181.93156796991667</v>
      </c>
      <c r="I1415">
        <f t="shared" si="21"/>
        <v>0</v>
      </c>
    </row>
    <row r="1416" spans="7:9" x14ac:dyDescent="0.15">
      <c r="G1416">
        <v>1397</v>
      </c>
      <c r="H1416">
        <v>114.72533239630391</v>
      </c>
      <c r="I1416">
        <f t="shared" si="21"/>
        <v>0</v>
      </c>
    </row>
    <row r="1417" spans="7:9" x14ac:dyDescent="0.15">
      <c r="G1417">
        <v>1398</v>
      </c>
      <c r="H1417">
        <v>-73.948678609763419</v>
      </c>
      <c r="I1417">
        <f t="shared" si="21"/>
        <v>1</v>
      </c>
    </row>
    <row r="1418" spans="7:9" x14ac:dyDescent="0.15">
      <c r="G1418">
        <v>1399</v>
      </c>
      <c r="H1418">
        <v>223.0928404538831</v>
      </c>
      <c r="I1418">
        <f t="shared" si="21"/>
        <v>0</v>
      </c>
    </row>
    <row r="1419" spans="7:9" x14ac:dyDescent="0.15">
      <c r="G1419">
        <v>1400</v>
      </c>
      <c r="H1419">
        <v>167.6316107025811</v>
      </c>
      <c r="I1419">
        <f t="shared" si="21"/>
        <v>0</v>
      </c>
    </row>
    <row r="1420" spans="7:9" x14ac:dyDescent="0.15">
      <c r="G1420">
        <v>1401</v>
      </c>
      <c r="H1420">
        <v>-169.36102834347031</v>
      </c>
      <c r="I1420">
        <f t="shared" si="21"/>
        <v>1</v>
      </c>
    </row>
    <row r="1421" spans="7:9" x14ac:dyDescent="0.15">
      <c r="G1421">
        <v>1402</v>
      </c>
      <c r="H1421">
        <v>247.02787719487748</v>
      </c>
      <c r="I1421">
        <f t="shared" si="21"/>
        <v>0</v>
      </c>
    </row>
    <row r="1422" spans="7:9" x14ac:dyDescent="0.15">
      <c r="G1422">
        <v>1403</v>
      </c>
      <c r="H1422">
        <v>-71.554132051525272</v>
      </c>
      <c r="I1422">
        <f t="shared" si="21"/>
        <v>1</v>
      </c>
    </row>
    <row r="1423" spans="7:9" x14ac:dyDescent="0.15">
      <c r="G1423">
        <v>1404</v>
      </c>
      <c r="H1423">
        <v>134.90898063544273</v>
      </c>
      <c r="I1423">
        <f t="shared" si="21"/>
        <v>0</v>
      </c>
    </row>
    <row r="1424" spans="7:9" x14ac:dyDescent="0.15">
      <c r="G1424">
        <v>1405</v>
      </c>
      <c r="H1424">
        <v>-192.65607689976946</v>
      </c>
      <c r="I1424">
        <f t="shared" si="21"/>
        <v>1</v>
      </c>
    </row>
    <row r="1425" spans="7:9" x14ac:dyDescent="0.15">
      <c r="G1425">
        <v>1406</v>
      </c>
      <c r="H1425">
        <v>523.59620933278563</v>
      </c>
      <c r="I1425">
        <f t="shared" si="21"/>
        <v>0</v>
      </c>
    </row>
    <row r="1426" spans="7:9" x14ac:dyDescent="0.15">
      <c r="G1426">
        <v>1407</v>
      </c>
      <c r="H1426">
        <v>-169.97514770838308</v>
      </c>
      <c r="I1426">
        <f t="shared" si="21"/>
        <v>1</v>
      </c>
    </row>
    <row r="1427" spans="7:9" x14ac:dyDescent="0.15">
      <c r="G1427">
        <v>1408</v>
      </c>
      <c r="H1427">
        <v>-11.070735000573535</v>
      </c>
      <c r="I1427">
        <f t="shared" si="21"/>
        <v>1</v>
      </c>
    </row>
    <row r="1428" spans="7:9" x14ac:dyDescent="0.15">
      <c r="G1428">
        <v>1409</v>
      </c>
      <c r="H1428">
        <v>-91.273249308965973</v>
      </c>
      <c r="I1428">
        <f t="shared" si="21"/>
        <v>1</v>
      </c>
    </row>
    <row r="1429" spans="7:9" x14ac:dyDescent="0.15">
      <c r="G1429">
        <v>1410</v>
      </c>
      <c r="H1429">
        <v>-317.78647201324208</v>
      </c>
      <c r="I1429">
        <f t="shared" ref="I1429:I1492" si="22">IF(H1429&lt;0,1,0)</f>
        <v>1</v>
      </c>
    </row>
    <row r="1430" spans="7:9" x14ac:dyDescent="0.15">
      <c r="G1430">
        <v>1411</v>
      </c>
      <c r="H1430">
        <v>398.747843209493</v>
      </c>
      <c r="I1430">
        <f t="shared" si="22"/>
        <v>0</v>
      </c>
    </row>
    <row r="1431" spans="7:9" x14ac:dyDescent="0.15">
      <c r="G1431">
        <v>1412</v>
      </c>
      <c r="H1431">
        <v>-108.46529340826203</v>
      </c>
      <c r="I1431">
        <f t="shared" si="22"/>
        <v>1</v>
      </c>
    </row>
    <row r="1432" spans="7:9" x14ac:dyDescent="0.15">
      <c r="G1432">
        <v>1413</v>
      </c>
      <c r="H1432">
        <v>78.523899646502414</v>
      </c>
      <c r="I1432">
        <f t="shared" si="22"/>
        <v>0</v>
      </c>
    </row>
    <row r="1433" spans="7:9" x14ac:dyDescent="0.15">
      <c r="G1433">
        <v>1414</v>
      </c>
      <c r="H1433">
        <v>113.05369315201445</v>
      </c>
      <c r="I1433">
        <f t="shared" si="22"/>
        <v>0</v>
      </c>
    </row>
    <row r="1434" spans="7:9" x14ac:dyDescent="0.15">
      <c r="G1434">
        <v>1415</v>
      </c>
      <c r="H1434">
        <v>357.04516626843542</v>
      </c>
      <c r="I1434">
        <f t="shared" si="22"/>
        <v>0</v>
      </c>
    </row>
    <row r="1435" spans="7:9" x14ac:dyDescent="0.15">
      <c r="G1435">
        <v>1416</v>
      </c>
      <c r="H1435">
        <v>364.89997174123482</v>
      </c>
      <c r="I1435">
        <f t="shared" si="22"/>
        <v>0</v>
      </c>
    </row>
    <row r="1436" spans="7:9" x14ac:dyDescent="0.15">
      <c r="G1436">
        <v>1417</v>
      </c>
      <c r="H1436">
        <v>77.351827433078043</v>
      </c>
      <c r="I1436">
        <f t="shared" si="22"/>
        <v>0</v>
      </c>
    </row>
    <row r="1437" spans="7:9" x14ac:dyDescent="0.15">
      <c r="G1437">
        <v>1418</v>
      </c>
      <c r="H1437">
        <v>815.38377761992467</v>
      </c>
      <c r="I1437">
        <f t="shared" si="22"/>
        <v>0</v>
      </c>
    </row>
    <row r="1438" spans="7:9" x14ac:dyDescent="0.15">
      <c r="G1438">
        <v>1419</v>
      </c>
      <c r="H1438">
        <v>68.28592232002778</v>
      </c>
      <c r="I1438">
        <f t="shared" si="22"/>
        <v>0</v>
      </c>
    </row>
    <row r="1439" spans="7:9" x14ac:dyDescent="0.15">
      <c r="G1439">
        <v>1420</v>
      </c>
      <c r="H1439">
        <v>-331.72219346305496</v>
      </c>
      <c r="I1439">
        <f t="shared" si="22"/>
        <v>1</v>
      </c>
    </row>
    <row r="1440" spans="7:9" x14ac:dyDescent="0.15">
      <c r="G1440">
        <v>1421</v>
      </c>
      <c r="H1440">
        <v>-180.79425924682246</v>
      </c>
      <c r="I1440">
        <f t="shared" si="22"/>
        <v>1</v>
      </c>
    </row>
    <row r="1441" spans="7:9" x14ac:dyDescent="0.15">
      <c r="G1441">
        <v>1422</v>
      </c>
      <c r="H1441">
        <v>-145.42769467230113</v>
      </c>
      <c r="I1441">
        <f t="shared" si="22"/>
        <v>1</v>
      </c>
    </row>
    <row r="1442" spans="7:9" x14ac:dyDescent="0.15">
      <c r="G1442">
        <v>1423</v>
      </c>
      <c r="H1442">
        <v>395.29573150173206</v>
      </c>
      <c r="I1442">
        <f t="shared" si="22"/>
        <v>0</v>
      </c>
    </row>
    <row r="1443" spans="7:9" x14ac:dyDescent="0.15">
      <c r="G1443">
        <v>1424</v>
      </c>
      <c r="H1443">
        <v>-571.22652139764784</v>
      </c>
      <c r="I1443">
        <f t="shared" si="22"/>
        <v>1</v>
      </c>
    </row>
    <row r="1444" spans="7:9" x14ac:dyDescent="0.15">
      <c r="G1444">
        <v>1425</v>
      </c>
      <c r="H1444">
        <v>516.21442195792065</v>
      </c>
      <c r="I1444">
        <f t="shared" si="22"/>
        <v>0</v>
      </c>
    </row>
    <row r="1445" spans="7:9" x14ac:dyDescent="0.15">
      <c r="G1445">
        <v>1426</v>
      </c>
      <c r="H1445">
        <v>313.3163700726991</v>
      </c>
      <c r="I1445">
        <f t="shared" si="22"/>
        <v>0</v>
      </c>
    </row>
    <row r="1446" spans="7:9" x14ac:dyDescent="0.15">
      <c r="G1446">
        <v>1427</v>
      </c>
      <c r="H1446">
        <v>188.4890733702772</v>
      </c>
      <c r="I1446">
        <f t="shared" si="22"/>
        <v>0</v>
      </c>
    </row>
    <row r="1447" spans="7:9" x14ac:dyDescent="0.15">
      <c r="G1447">
        <v>1428</v>
      </c>
      <c r="H1447">
        <v>374.86037748346661</v>
      </c>
      <c r="I1447">
        <f t="shared" si="22"/>
        <v>0</v>
      </c>
    </row>
    <row r="1448" spans="7:9" x14ac:dyDescent="0.15">
      <c r="G1448">
        <v>1429</v>
      </c>
      <c r="H1448">
        <v>83.445601503789462</v>
      </c>
      <c r="I1448">
        <f t="shared" si="22"/>
        <v>0</v>
      </c>
    </row>
    <row r="1449" spans="7:9" x14ac:dyDescent="0.15">
      <c r="G1449">
        <v>1430</v>
      </c>
      <c r="H1449">
        <v>-144.42756176636985</v>
      </c>
      <c r="I1449">
        <f t="shared" si="22"/>
        <v>1</v>
      </c>
    </row>
    <row r="1450" spans="7:9" x14ac:dyDescent="0.15">
      <c r="G1450">
        <v>1431</v>
      </c>
      <c r="H1450">
        <v>5.9064583023206154</v>
      </c>
      <c r="I1450">
        <f t="shared" si="22"/>
        <v>0</v>
      </c>
    </row>
    <row r="1451" spans="7:9" x14ac:dyDescent="0.15">
      <c r="G1451">
        <v>1432</v>
      </c>
      <c r="H1451">
        <v>-473.38127182057571</v>
      </c>
      <c r="I1451">
        <f t="shared" si="22"/>
        <v>1</v>
      </c>
    </row>
    <row r="1452" spans="7:9" x14ac:dyDescent="0.15">
      <c r="G1452">
        <v>1433</v>
      </c>
      <c r="H1452">
        <v>268.50549309630662</v>
      </c>
      <c r="I1452">
        <f t="shared" si="22"/>
        <v>0</v>
      </c>
    </row>
    <row r="1453" spans="7:9" x14ac:dyDescent="0.15">
      <c r="G1453">
        <v>1434</v>
      </c>
      <c r="H1453">
        <v>-22.650451903802214</v>
      </c>
      <c r="I1453">
        <f t="shared" si="22"/>
        <v>1</v>
      </c>
    </row>
    <row r="1454" spans="7:9" x14ac:dyDescent="0.15">
      <c r="G1454">
        <v>1435</v>
      </c>
      <c r="H1454">
        <v>-516.34266694893586</v>
      </c>
      <c r="I1454">
        <f t="shared" si="22"/>
        <v>1</v>
      </c>
    </row>
    <row r="1455" spans="7:9" x14ac:dyDescent="0.15">
      <c r="G1455">
        <v>1436</v>
      </c>
      <c r="H1455">
        <v>142.48825152377071</v>
      </c>
      <c r="I1455">
        <f t="shared" si="22"/>
        <v>0</v>
      </c>
    </row>
    <row r="1456" spans="7:9" x14ac:dyDescent="0.15">
      <c r="G1456">
        <v>1437</v>
      </c>
      <c r="H1456">
        <v>-66.607090548252771</v>
      </c>
      <c r="I1456">
        <f t="shared" si="22"/>
        <v>1</v>
      </c>
    </row>
    <row r="1457" spans="7:9" x14ac:dyDescent="0.15">
      <c r="G1457">
        <v>1438</v>
      </c>
      <c r="H1457">
        <v>-49.89807153915185</v>
      </c>
      <c r="I1457">
        <f t="shared" si="22"/>
        <v>1</v>
      </c>
    </row>
    <row r="1458" spans="7:9" x14ac:dyDescent="0.15">
      <c r="G1458">
        <v>1439</v>
      </c>
      <c r="H1458">
        <v>490.10205876420491</v>
      </c>
      <c r="I1458">
        <f t="shared" si="22"/>
        <v>0</v>
      </c>
    </row>
    <row r="1459" spans="7:9" x14ac:dyDescent="0.15">
      <c r="G1459">
        <v>1440</v>
      </c>
      <c r="H1459">
        <v>526.26524569423304</v>
      </c>
      <c r="I1459">
        <f t="shared" si="22"/>
        <v>0</v>
      </c>
    </row>
    <row r="1460" spans="7:9" x14ac:dyDescent="0.15">
      <c r="G1460">
        <v>1441</v>
      </c>
      <c r="H1460">
        <v>-120.04039692913426</v>
      </c>
      <c r="I1460">
        <f t="shared" si="22"/>
        <v>1</v>
      </c>
    </row>
    <row r="1461" spans="7:9" x14ac:dyDescent="0.15">
      <c r="G1461">
        <v>1442</v>
      </c>
      <c r="H1461">
        <v>557.83189937214627</v>
      </c>
      <c r="I1461">
        <f t="shared" si="22"/>
        <v>0</v>
      </c>
    </row>
    <row r="1462" spans="7:9" x14ac:dyDescent="0.15">
      <c r="G1462">
        <v>1443</v>
      </c>
      <c r="H1462">
        <v>-144.81285255102637</v>
      </c>
      <c r="I1462">
        <f t="shared" si="22"/>
        <v>1</v>
      </c>
    </row>
    <row r="1463" spans="7:9" x14ac:dyDescent="0.15">
      <c r="G1463">
        <v>1444</v>
      </c>
      <c r="H1463">
        <v>-116.92007044770959</v>
      </c>
      <c r="I1463">
        <f t="shared" si="22"/>
        <v>1</v>
      </c>
    </row>
    <row r="1464" spans="7:9" x14ac:dyDescent="0.15">
      <c r="G1464">
        <v>1445</v>
      </c>
      <c r="H1464">
        <v>208.69131498124574</v>
      </c>
      <c r="I1464">
        <f t="shared" si="22"/>
        <v>0</v>
      </c>
    </row>
    <row r="1465" spans="7:9" x14ac:dyDescent="0.15">
      <c r="G1465">
        <v>1446</v>
      </c>
      <c r="H1465">
        <v>-127.58307066050064</v>
      </c>
      <c r="I1465">
        <f t="shared" si="22"/>
        <v>1</v>
      </c>
    </row>
    <row r="1466" spans="7:9" x14ac:dyDescent="0.15">
      <c r="G1466">
        <v>1447</v>
      </c>
      <c r="H1466">
        <v>-174.63290659409125</v>
      </c>
      <c r="I1466">
        <f t="shared" si="22"/>
        <v>1</v>
      </c>
    </row>
    <row r="1467" spans="7:9" x14ac:dyDescent="0.15">
      <c r="G1467">
        <v>1448</v>
      </c>
      <c r="H1467">
        <v>-102.05131311952995</v>
      </c>
      <c r="I1467">
        <f t="shared" si="22"/>
        <v>1</v>
      </c>
    </row>
    <row r="1468" spans="7:9" x14ac:dyDescent="0.15">
      <c r="G1468">
        <v>1449</v>
      </c>
      <c r="H1468">
        <v>-94.95656866223743</v>
      </c>
      <c r="I1468">
        <f t="shared" si="22"/>
        <v>1</v>
      </c>
    </row>
    <row r="1469" spans="7:9" x14ac:dyDescent="0.15">
      <c r="G1469">
        <v>1450</v>
      </c>
      <c r="H1469">
        <v>377.86711417604562</v>
      </c>
      <c r="I1469">
        <f t="shared" si="22"/>
        <v>0</v>
      </c>
    </row>
    <row r="1470" spans="7:9" x14ac:dyDescent="0.15">
      <c r="G1470">
        <v>1451</v>
      </c>
      <c r="H1470">
        <v>212.66700218138837</v>
      </c>
      <c r="I1470">
        <f t="shared" si="22"/>
        <v>0</v>
      </c>
    </row>
    <row r="1471" spans="7:9" x14ac:dyDescent="0.15">
      <c r="G1471">
        <v>1452</v>
      </c>
      <c r="H1471">
        <v>0.32585708191042784</v>
      </c>
      <c r="I1471">
        <f t="shared" si="22"/>
        <v>0</v>
      </c>
    </row>
    <row r="1472" spans="7:9" x14ac:dyDescent="0.15">
      <c r="G1472">
        <v>1453</v>
      </c>
      <c r="H1472">
        <v>102.51360287842328</v>
      </c>
      <c r="I1472">
        <f t="shared" si="22"/>
        <v>0</v>
      </c>
    </row>
    <row r="1473" spans="7:9" x14ac:dyDescent="0.15">
      <c r="G1473">
        <v>1454</v>
      </c>
      <c r="H1473">
        <v>172.33568457055031</v>
      </c>
      <c r="I1473">
        <f t="shared" si="22"/>
        <v>0</v>
      </c>
    </row>
    <row r="1474" spans="7:9" x14ac:dyDescent="0.15">
      <c r="G1474">
        <v>1455</v>
      </c>
      <c r="H1474">
        <v>-151.16625044469123</v>
      </c>
      <c r="I1474">
        <f t="shared" si="22"/>
        <v>1</v>
      </c>
    </row>
    <row r="1475" spans="7:9" x14ac:dyDescent="0.15">
      <c r="G1475">
        <v>1456</v>
      </c>
      <c r="H1475">
        <v>-202.57617205524178</v>
      </c>
      <c r="I1475">
        <f t="shared" si="22"/>
        <v>1</v>
      </c>
    </row>
    <row r="1476" spans="7:9" x14ac:dyDescent="0.15">
      <c r="G1476">
        <v>1457</v>
      </c>
      <c r="H1476">
        <v>387.64538326631379</v>
      </c>
      <c r="I1476">
        <f t="shared" si="22"/>
        <v>0</v>
      </c>
    </row>
    <row r="1477" spans="7:9" x14ac:dyDescent="0.15">
      <c r="G1477">
        <v>1458</v>
      </c>
      <c r="H1477">
        <v>12.354562905838833</v>
      </c>
      <c r="I1477">
        <f t="shared" si="22"/>
        <v>0</v>
      </c>
    </row>
    <row r="1478" spans="7:9" x14ac:dyDescent="0.15">
      <c r="G1478">
        <v>1459</v>
      </c>
      <c r="H1478">
        <v>221.78407084915688</v>
      </c>
      <c r="I1478">
        <f t="shared" si="22"/>
        <v>0</v>
      </c>
    </row>
    <row r="1479" spans="7:9" x14ac:dyDescent="0.15">
      <c r="G1479">
        <v>1460</v>
      </c>
      <c r="H1479">
        <v>-16.981881770517958</v>
      </c>
      <c r="I1479">
        <f t="shared" si="22"/>
        <v>1</v>
      </c>
    </row>
    <row r="1480" spans="7:9" x14ac:dyDescent="0.15">
      <c r="G1480">
        <v>1461</v>
      </c>
      <c r="H1480">
        <v>31.450168923015056</v>
      </c>
      <c r="I1480">
        <f t="shared" si="22"/>
        <v>0</v>
      </c>
    </row>
    <row r="1481" spans="7:9" x14ac:dyDescent="0.15">
      <c r="G1481">
        <v>1462</v>
      </c>
      <c r="H1481">
        <v>-142.79008552755158</v>
      </c>
      <c r="I1481">
        <f t="shared" si="22"/>
        <v>1</v>
      </c>
    </row>
    <row r="1482" spans="7:9" x14ac:dyDescent="0.15">
      <c r="G1482">
        <v>1463</v>
      </c>
      <c r="H1482">
        <v>87.999038117213516</v>
      </c>
      <c r="I1482">
        <f t="shared" si="22"/>
        <v>0</v>
      </c>
    </row>
    <row r="1483" spans="7:9" x14ac:dyDescent="0.15">
      <c r="G1483">
        <v>1464</v>
      </c>
      <c r="H1483">
        <v>383.04282357363996</v>
      </c>
      <c r="I1483">
        <f t="shared" si="22"/>
        <v>0</v>
      </c>
    </row>
    <row r="1484" spans="7:9" x14ac:dyDescent="0.15">
      <c r="G1484">
        <v>1465</v>
      </c>
      <c r="H1484">
        <v>-381.25003393382519</v>
      </c>
      <c r="I1484">
        <f t="shared" si="22"/>
        <v>1</v>
      </c>
    </row>
    <row r="1485" spans="7:9" x14ac:dyDescent="0.15">
      <c r="G1485">
        <v>1466</v>
      </c>
      <c r="H1485">
        <v>-6.1682631800453862</v>
      </c>
      <c r="I1485">
        <f t="shared" si="22"/>
        <v>1</v>
      </c>
    </row>
    <row r="1486" spans="7:9" x14ac:dyDescent="0.15">
      <c r="G1486">
        <v>1467</v>
      </c>
      <c r="H1486">
        <v>-213.74343729799853</v>
      </c>
      <c r="I1486">
        <f t="shared" si="22"/>
        <v>1</v>
      </c>
    </row>
    <row r="1487" spans="7:9" x14ac:dyDescent="0.15">
      <c r="G1487">
        <v>1468</v>
      </c>
      <c r="H1487">
        <v>-141.05459283134013</v>
      </c>
      <c r="I1487">
        <f t="shared" si="22"/>
        <v>1</v>
      </c>
    </row>
    <row r="1488" spans="7:9" x14ac:dyDescent="0.15">
      <c r="G1488">
        <v>1469</v>
      </c>
      <c r="H1488">
        <v>97.012466279093957</v>
      </c>
      <c r="I1488">
        <f t="shared" si="22"/>
        <v>0</v>
      </c>
    </row>
    <row r="1489" spans="7:9" x14ac:dyDescent="0.15">
      <c r="G1489">
        <v>1470</v>
      </c>
      <c r="H1489">
        <v>30.996542812309706</v>
      </c>
      <c r="I1489">
        <f t="shared" si="22"/>
        <v>0</v>
      </c>
    </row>
    <row r="1490" spans="7:9" x14ac:dyDescent="0.15">
      <c r="G1490">
        <v>1471</v>
      </c>
      <c r="H1490">
        <v>54.766736910191405</v>
      </c>
      <c r="I1490">
        <f t="shared" si="22"/>
        <v>0</v>
      </c>
    </row>
    <row r="1491" spans="7:9" x14ac:dyDescent="0.15">
      <c r="G1491">
        <v>1472</v>
      </c>
      <c r="H1491">
        <v>83.497631317570992</v>
      </c>
      <c r="I1491">
        <f t="shared" si="22"/>
        <v>0</v>
      </c>
    </row>
    <row r="1492" spans="7:9" x14ac:dyDescent="0.15">
      <c r="G1492">
        <v>1473</v>
      </c>
      <c r="H1492">
        <v>-111.4504755507694</v>
      </c>
      <c r="I1492">
        <f t="shared" si="22"/>
        <v>1</v>
      </c>
    </row>
    <row r="1493" spans="7:9" x14ac:dyDescent="0.15">
      <c r="G1493">
        <v>1474</v>
      </c>
      <c r="H1493">
        <v>-294.05193071463555</v>
      </c>
      <c r="I1493">
        <f t="shared" ref="I1493:I1556" si="23">IF(H1493&lt;0,1,0)</f>
        <v>1</v>
      </c>
    </row>
    <row r="1494" spans="7:9" x14ac:dyDescent="0.15">
      <c r="G1494">
        <v>1475</v>
      </c>
      <c r="H1494">
        <v>538.24797164385893</v>
      </c>
      <c r="I1494">
        <f t="shared" si="23"/>
        <v>0</v>
      </c>
    </row>
    <row r="1495" spans="7:9" x14ac:dyDescent="0.15">
      <c r="G1495">
        <v>1476</v>
      </c>
      <c r="H1495">
        <v>640.96223507614548</v>
      </c>
      <c r="I1495">
        <f t="shared" si="23"/>
        <v>0</v>
      </c>
    </row>
    <row r="1496" spans="7:9" x14ac:dyDescent="0.15">
      <c r="G1496">
        <v>1477</v>
      </c>
      <c r="H1496">
        <v>128.58200055427483</v>
      </c>
      <c r="I1496">
        <f t="shared" si="23"/>
        <v>0</v>
      </c>
    </row>
    <row r="1497" spans="7:9" x14ac:dyDescent="0.15">
      <c r="G1497">
        <v>1478</v>
      </c>
      <c r="H1497">
        <v>-170.16394246010796</v>
      </c>
      <c r="I1497">
        <f t="shared" si="23"/>
        <v>1</v>
      </c>
    </row>
    <row r="1498" spans="7:9" x14ac:dyDescent="0.15">
      <c r="G1498">
        <v>1479</v>
      </c>
      <c r="H1498">
        <v>-53.861139042652226</v>
      </c>
      <c r="I1498">
        <f t="shared" si="23"/>
        <v>1</v>
      </c>
    </row>
    <row r="1499" spans="7:9" x14ac:dyDescent="0.15">
      <c r="G1499">
        <v>1480</v>
      </c>
      <c r="H1499">
        <v>331.02519659220576</v>
      </c>
      <c r="I1499">
        <f t="shared" si="23"/>
        <v>0</v>
      </c>
    </row>
    <row r="1500" spans="7:9" x14ac:dyDescent="0.15">
      <c r="G1500">
        <v>1481</v>
      </c>
      <c r="H1500">
        <v>-169.91970469744632</v>
      </c>
      <c r="I1500">
        <f t="shared" si="23"/>
        <v>1</v>
      </c>
    </row>
    <row r="1501" spans="7:9" x14ac:dyDescent="0.15">
      <c r="G1501">
        <v>1482</v>
      </c>
      <c r="H1501">
        <v>-64.099789866503968</v>
      </c>
      <c r="I1501">
        <f t="shared" si="23"/>
        <v>1</v>
      </c>
    </row>
    <row r="1502" spans="7:9" x14ac:dyDescent="0.15">
      <c r="G1502">
        <v>1483</v>
      </c>
      <c r="H1502">
        <v>201.02506318215828</v>
      </c>
      <c r="I1502">
        <f t="shared" si="23"/>
        <v>0</v>
      </c>
    </row>
    <row r="1503" spans="7:9" x14ac:dyDescent="0.15">
      <c r="G1503">
        <v>1484</v>
      </c>
      <c r="H1503">
        <v>-14.651658279495365</v>
      </c>
      <c r="I1503">
        <f t="shared" si="23"/>
        <v>1</v>
      </c>
    </row>
    <row r="1504" spans="7:9" x14ac:dyDescent="0.15">
      <c r="G1504">
        <v>1485</v>
      </c>
      <c r="H1504">
        <v>-71.778724005580401</v>
      </c>
      <c r="I1504">
        <f t="shared" si="23"/>
        <v>1</v>
      </c>
    </row>
    <row r="1505" spans="7:9" x14ac:dyDescent="0.15">
      <c r="G1505">
        <v>1486</v>
      </c>
      <c r="H1505">
        <v>82.91777018569482</v>
      </c>
      <c r="I1505">
        <f t="shared" si="23"/>
        <v>0</v>
      </c>
    </row>
    <row r="1506" spans="7:9" x14ac:dyDescent="0.15">
      <c r="G1506">
        <v>1487</v>
      </c>
      <c r="H1506">
        <v>-136.79769325386576</v>
      </c>
      <c r="I1506">
        <f t="shared" si="23"/>
        <v>1</v>
      </c>
    </row>
    <row r="1507" spans="7:9" x14ac:dyDescent="0.15">
      <c r="G1507">
        <v>1488</v>
      </c>
      <c r="H1507">
        <v>310.66030511841848</v>
      </c>
      <c r="I1507">
        <f t="shared" si="23"/>
        <v>0</v>
      </c>
    </row>
    <row r="1508" spans="7:9" x14ac:dyDescent="0.15">
      <c r="G1508">
        <v>1489</v>
      </c>
      <c r="H1508">
        <v>-78.87689681350264</v>
      </c>
      <c r="I1508">
        <f t="shared" si="23"/>
        <v>1</v>
      </c>
    </row>
    <row r="1509" spans="7:9" x14ac:dyDescent="0.15">
      <c r="G1509">
        <v>1490</v>
      </c>
      <c r="H1509">
        <v>379.17442203854375</v>
      </c>
      <c r="I1509">
        <f t="shared" si="23"/>
        <v>0</v>
      </c>
    </row>
    <row r="1510" spans="7:9" x14ac:dyDescent="0.15">
      <c r="G1510">
        <v>1491</v>
      </c>
      <c r="H1510">
        <v>177.03337498373685</v>
      </c>
      <c r="I1510">
        <f t="shared" si="23"/>
        <v>0</v>
      </c>
    </row>
    <row r="1511" spans="7:9" x14ac:dyDescent="0.15">
      <c r="G1511">
        <v>1492</v>
      </c>
      <c r="H1511">
        <v>-61.674156417125715</v>
      </c>
      <c r="I1511">
        <f t="shared" si="23"/>
        <v>1</v>
      </c>
    </row>
    <row r="1512" spans="7:9" x14ac:dyDescent="0.15">
      <c r="G1512">
        <v>1493</v>
      </c>
      <c r="H1512">
        <v>436.03597134596708</v>
      </c>
      <c r="I1512">
        <f t="shared" si="23"/>
        <v>0</v>
      </c>
    </row>
    <row r="1513" spans="7:9" x14ac:dyDescent="0.15">
      <c r="G1513">
        <v>1494</v>
      </c>
      <c r="H1513">
        <v>-276.65325567587831</v>
      </c>
      <c r="I1513">
        <f t="shared" si="23"/>
        <v>1</v>
      </c>
    </row>
    <row r="1514" spans="7:9" x14ac:dyDescent="0.15">
      <c r="G1514">
        <v>1495</v>
      </c>
      <c r="H1514">
        <v>187.74272341376016</v>
      </c>
      <c r="I1514">
        <f t="shared" si="23"/>
        <v>0</v>
      </c>
    </row>
    <row r="1515" spans="7:9" x14ac:dyDescent="0.15">
      <c r="G1515">
        <v>1496</v>
      </c>
      <c r="H1515">
        <v>-177.26932362995274</v>
      </c>
      <c r="I1515">
        <f t="shared" si="23"/>
        <v>1</v>
      </c>
    </row>
    <row r="1516" spans="7:9" x14ac:dyDescent="0.15">
      <c r="G1516">
        <v>1497</v>
      </c>
      <c r="H1516">
        <v>546.89636258988844</v>
      </c>
      <c r="I1516">
        <f t="shared" si="23"/>
        <v>0</v>
      </c>
    </row>
    <row r="1517" spans="7:9" x14ac:dyDescent="0.15">
      <c r="G1517">
        <v>1498</v>
      </c>
      <c r="H1517">
        <v>-222.95202980386844</v>
      </c>
      <c r="I1517">
        <f t="shared" si="23"/>
        <v>1</v>
      </c>
    </row>
    <row r="1518" spans="7:9" x14ac:dyDescent="0.15">
      <c r="G1518">
        <v>1499</v>
      </c>
      <c r="H1518">
        <v>146.5729119105381</v>
      </c>
      <c r="I1518">
        <f t="shared" si="23"/>
        <v>0</v>
      </c>
    </row>
    <row r="1519" spans="7:9" x14ac:dyDescent="0.15">
      <c r="G1519">
        <v>1500</v>
      </c>
      <c r="H1519">
        <v>-117.46360317213792</v>
      </c>
      <c r="I1519">
        <f t="shared" si="23"/>
        <v>1</v>
      </c>
    </row>
    <row r="1520" spans="7:9" x14ac:dyDescent="0.15">
      <c r="G1520">
        <v>1501</v>
      </c>
      <c r="H1520">
        <v>2.8839504355022001</v>
      </c>
      <c r="I1520">
        <f t="shared" si="23"/>
        <v>0</v>
      </c>
    </row>
    <row r="1521" spans="7:9" x14ac:dyDescent="0.15">
      <c r="G1521">
        <v>1502</v>
      </c>
      <c r="H1521">
        <v>-205.66065970192051</v>
      </c>
      <c r="I1521">
        <f t="shared" si="23"/>
        <v>1</v>
      </c>
    </row>
    <row r="1522" spans="7:9" x14ac:dyDescent="0.15">
      <c r="G1522">
        <v>1503</v>
      </c>
      <c r="H1522">
        <v>-298.16525345715979</v>
      </c>
      <c r="I1522">
        <f t="shared" si="23"/>
        <v>1</v>
      </c>
    </row>
    <row r="1523" spans="7:9" x14ac:dyDescent="0.15">
      <c r="G1523">
        <v>1504</v>
      </c>
      <c r="H1523">
        <v>248.33310318683911</v>
      </c>
      <c r="I1523">
        <f t="shared" si="23"/>
        <v>0</v>
      </c>
    </row>
    <row r="1524" spans="7:9" x14ac:dyDescent="0.15">
      <c r="G1524">
        <v>1505</v>
      </c>
      <c r="H1524">
        <v>-129.03645513406713</v>
      </c>
      <c r="I1524">
        <f t="shared" si="23"/>
        <v>1</v>
      </c>
    </row>
    <row r="1525" spans="7:9" x14ac:dyDescent="0.15">
      <c r="G1525">
        <v>1506</v>
      </c>
      <c r="H1525">
        <v>280.71222524416561</v>
      </c>
      <c r="I1525">
        <f t="shared" si="23"/>
        <v>0</v>
      </c>
    </row>
    <row r="1526" spans="7:9" x14ac:dyDescent="0.15">
      <c r="G1526">
        <v>1507</v>
      </c>
      <c r="H1526">
        <v>861.69592207043479</v>
      </c>
      <c r="I1526">
        <f t="shared" si="23"/>
        <v>0</v>
      </c>
    </row>
    <row r="1527" spans="7:9" x14ac:dyDescent="0.15">
      <c r="G1527">
        <v>1508</v>
      </c>
      <c r="H1527">
        <v>-103.39321230722052</v>
      </c>
      <c r="I1527">
        <f t="shared" si="23"/>
        <v>1</v>
      </c>
    </row>
    <row r="1528" spans="7:9" x14ac:dyDescent="0.15">
      <c r="G1528">
        <v>1509</v>
      </c>
      <c r="H1528">
        <v>110.7699973035114</v>
      </c>
      <c r="I1528">
        <f t="shared" si="23"/>
        <v>0</v>
      </c>
    </row>
    <row r="1529" spans="7:9" x14ac:dyDescent="0.15">
      <c r="G1529">
        <v>1510</v>
      </c>
      <c r="H1529">
        <v>-293.22347846687921</v>
      </c>
      <c r="I1529">
        <f t="shared" si="23"/>
        <v>1</v>
      </c>
    </row>
    <row r="1530" spans="7:9" x14ac:dyDescent="0.15">
      <c r="G1530">
        <v>1511</v>
      </c>
      <c r="H1530">
        <v>-266.36318018729696</v>
      </c>
      <c r="I1530">
        <f t="shared" si="23"/>
        <v>1</v>
      </c>
    </row>
    <row r="1531" spans="7:9" x14ac:dyDescent="0.15">
      <c r="G1531">
        <v>1512</v>
      </c>
      <c r="H1531">
        <v>77.307702073123792</v>
      </c>
      <c r="I1531">
        <f t="shared" si="23"/>
        <v>0</v>
      </c>
    </row>
    <row r="1532" spans="7:9" x14ac:dyDescent="0.15">
      <c r="G1532">
        <v>1513</v>
      </c>
      <c r="H1532">
        <v>122.29365898042856</v>
      </c>
      <c r="I1532">
        <f t="shared" si="23"/>
        <v>0</v>
      </c>
    </row>
    <row r="1533" spans="7:9" x14ac:dyDescent="0.15">
      <c r="G1533">
        <v>1514</v>
      </c>
      <c r="H1533">
        <v>-132.0715108752716</v>
      </c>
      <c r="I1533">
        <f t="shared" si="23"/>
        <v>1</v>
      </c>
    </row>
    <row r="1534" spans="7:9" x14ac:dyDescent="0.15">
      <c r="G1534">
        <v>1515</v>
      </c>
      <c r="H1534">
        <v>-38.779428110209594</v>
      </c>
      <c r="I1534">
        <f t="shared" si="23"/>
        <v>1</v>
      </c>
    </row>
    <row r="1535" spans="7:9" x14ac:dyDescent="0.15">
      <c r="G1535">
        <v>1516</v>
      </c>
      <c r="H1535">
        <v>29.297142352867866</v>
      </c>
      <c r="I1535">
        <f t="shared" si="23"/>
        <v>0</v>
      </c>
    </row>
    <row r="1536" spans="7:9" x14ac:dyDescent="0.15">
      <c r="G1536">
        <v>1517</v>
      </c>
      <c r="H1536">
        <v>170.86724538269141</v>
      </c>
      <c r="I1536">
        <f t="shared" si="23"/>
        <v>0</v>
      </c>
    </row>
    <row r="1537" spans="7:9" x14ac:dyDescent="0.15">
      <c r="G1537">
        <v>1518</v>
      </c>
      <c r="H1537">
        <v>-75.102571508378077</v>
      </c>
      <c r="I1537">
        <f t="shared" si="23"/>
        <v>1</v>
      </c>
    </row>
    <row r="1538" spans="7:9" x14ac:dyDescent="0.15">
      <c r="G1538">
        <v>1519</v>
      </c>
      <c r="H1538">
        <v>111.45696210201213</v>
      </c>
      <c r="I1538">
        <f t="shared" si="23"/>
        <v>0</v>
      </c>
    </row>
    <row r="1539" spans="7:9" x14ac:dyDescent="0.15">
      <c r="G1539">
        <v>1520</v>
      </c>
      <c r="H1539">
        <v>32.792596686905682</v>
      </c>
      <c r="I1539">
        <f t="shared" si="23"/>
        <v>0</v>
      </c>
    </row>
    <row r="1540" spans="7:9" x14ac:dyDescent="0.15">
      <c r="G1540">
        <v>1521</v>
      </c>
      <c r="H1540">
        <v>336.86519701034916</v>
      </c>
      <c r="I1540">
        <f t="shared" si="23"/>
        <v>0</v>
      </c>
    </row>
    <row r="1541" spans="7:9" x14ac:dyDescent="0.15">
      <c r="G1541">
        <v>1522</v>
      </c>
      <c r="H1541">
        <v>162.87036222929569</v>
      </c>
      <c r="I1541">
        <f t="shared" si="23"/>
        <v>0</v>
      </c>
    </row>
    <row r="1542" spans="7:9" x14ac:dyDescent="0.15">
      <c r="G1542">
        <v>1523</v>
      </c>
      <c r="H1542">
        <v>31.773839881800981</v>
      </c>
      <c r="I1542">
        <f t="shared" si="23"/>
        <v>0</v>
      </c>
    </row>
    <row r="1543" spans="7:9" x14ac:dyDescent="0.15">
      <c r="G1543">
        <v>1524</v>
      </c>
      <c r="H1543">
        <v>268.09664945266644</v>
      </c>
      <c r="I1543">
        <f t="shared" si="23"/>
        <v>0</v>
      </c>
    </row>
    <row r="1544" spans="7:9" x14ac:dyDescent="0.15">
      <c r="G1544">
        <v>1525</v>
      </c>
      <c r="H1544">
        <v>257.81031728999864</v>
      </c>
      <c r="I1544">
        <f t="shared" si="23"/>
        <v>0</v>
      </c>
    </row>
    <row r="1545" spans="7:9" x14ac:dyDescent="0.15">
      <c r="G1545">
        <v>1526</v>
      </c>
      <c r="H1545">
        <v>-164.68797806835937</v>
      </c>
      <c r="I1545">
        <f t="shared" si="23"/>
        <v>1</v>
      </c>
    </row>
    <row r="1546" spans="7:9" x14ac:dyDescent="0.15">
      <c r="G1546">
        <v>1527</v>
      </c>
      <c r="H1546">
        <v>155.82707635535348</v>
      </c>
      <c r="I1546">
        <f t="shared" si="23"/>
        <v>0</v>
      </c>
    </row>
    <row r="1547" spans="7:9" x14ac:dyDescent="0.15">
      <c r="G1547">
        <v>1528</v>
      </c>
      <c r="H1547">
        <v>-45.665348086278314</v>
      </c>
      <c r="I1547">
        <f t="shared" si="23"/>
        <v>1</v>
      </c>
    </row>
    <row r="1548" spans="7:9" x14ac:dyDescent="0.15">
      <c r="G1548">
        <v>1529</v>
      </c>
      <c r="H1548">
        <v>83.978068555650751</v>
      </c>
      <c r="I1548">
        <f t="shared" si="23"/>
        <v>0</v>
      </c>
    </row>
    <row r="1549" spans="7:9" x14ac:dyDescent="0.15">
      <c r="G1549">
        <v>1530</v>
      </c>
      <c r="H1549">
        <v>142.31299389245157</v>
      </c>
      <c r="I1549">
        <f t="shared" si="23"/>
        <v>0</v>
      </c>
    </row>
    <row r="1550" spans="7:9" x14ac:dyDescent="0.15">
      <c r="G1550">
        <v>1531</v>
      </c>
      <c r="H1550">
        <v>-305.67300238265977</v>
      </c>
      <c r="I1550">
        <f t="shared" si="23"/>
        <v>1</v>
      </c>
    </row>
    <row r="1551" spans="7:9" x14ac:dyDescent="0.15">
      <c r="G1551">
        <v>1532</v>
      </c>
      <c r="H1551">
        <v>133.73292957186771</v>
      </c>
      <c r="I1551">
        <f t="shared" si="23"/>
        <v>0</v>
      </c>
    </row>
    <row r="1552" spans="7:9" x14ac:dyDescent="0.15">
      <c r="G1552">
        <v>1533</v>
      </c>
      <c r="H1552">
        <v>-114.1475019229558</v>
      </c>
      <c r="I1552">
        <f t="shared" si="23"/>
        <v>1</v>
      </c>
    </row>
    <row r="1553" spans="7:9" x14ac:dyDescent="0.15">
      <c r="G1553">
        <v>1534</v>
      </c>
      <c r="H1553">
        <v>8.4377368665789874</v>
      </c>
      <c r="I1553">
        <f t="shared" si="23"/>
        <v>0</v>
      </c>
    </row>
    <row r="1554" spans="7:9" x14ac:dyDescent="0.15">
      <c r="G1554">
        <v>1535</v>
      </c>
      <c r="H1554">
        <v>-29.377772676361559</v>
      </c>
      <c r="I1554">
        <f t="shared" si="23"/>
        <v>1</v>
      </c>
    </row>
    <row r="1555" spans="7:9" x14ac:dyDescent="0.15">
      <c r="G1555">
        <v>1536</v>
      </c>
      <c r="H1555">
        <v>-205.43407336432796</v>
      </c>
      <c r="I1555">
        <f t="shared" si="23"/>
        <v>1</v>
      </c>
    </row>
    <row r="1556" spans="7:9" x14ac:dyDescent="0.15">
      <c r="G1556">
        <v>1537</v>
      </c>
      <c r="H1556">
        <v>245.8448043603679</v>
      </c>
      <c r="I1556">
        <f t="shared" si="23"/>
        <v>0</v>
      </c>
    </row>
    <row r="1557" spans="7:9" x14ac:dyDescent="0.15">
      <c r="G1557">
        <v>1538</v>
      </c>
      <c r="H1557">
        <v>439.99926160495573</v>
      </c>
      <c r="I1557">
        <f t="shared" ref="I1557:I1620" si="24">IF(H1557&lt;0,1,0)</f>
        <v>0</v>
      </c>
    </row>
    <row r="1558" spans="7:9" x14ac:dyDescent="0.15">
      <c r="G1558">
        <v>1539</v>
      </c>
      <c r="H1558">
        <v>163.00489623920339</v>
      </c>
      <c r="I1558">
        <f t="shared" si="24"/>
        <v>0</v>
      </c>
    </row>
    <row r="1559" spans="7:9" x14ac:dyDescent="0.15">
      <c r="G1559">
        <v>1540</v>
      </c>
      <c r="H1559">
        <v>136.18745495566785</v>
      </c>
      <c r="I1559">
        <f t="shared" si="24"/>
        <v>0</v>
      </c>
    </row>
    <row r="1560" spans="7:9" x14ac:dyDescent="0.15">
      <c r="G1560">
        <v>1541</v>
      </c>
      <c r="H1560">
        <v>290.63891223467357</v>
      </c>
      <c r="I1560">
        <f t="shared" si="24"/>
        <v>0</v>
      </c>
    </row>
    <row r="1561" spans="7:9" x14ac:dyDescent="0.15">
      <c r="G1561">
        <v>1542</v>
      </c>
      <c r="H1561">
        <v>-311.81280602361358</v>
      </c>
      <c r="I1561">
        <f t="shared" si="24"/>
        <v>1</v>
      </c>
    </row>
    <row r="1562" spans="7:9" x14ac:dyDescent="0.15">
      <c r="G1562">
        <v>1543</v>
      </c>
      <c r="H1562">
        <v>251.80348108796767</v>
      </c>
      <c r="I1562">
        <f t="shared" si="24"/>
        <v>0</v>
      </c>
    </row>
    <row r="1563" spans="7:9" x14ac:dyDescent="0.15">
      <c r="G1563">
        <v>1544</v>
      </c>
      <c r="H1563">
        <v>121.85992510607443</v>
      </c>
      <c r="I1563">
        <f t="shared" si="24"/>
        <v>0</v>
      </c>
    </row>
    <row r="1564" spans="7:9" x14ac:dyDescent="0.15">
      <c r="G1564">
        <v>1545</v>
      </c>
      <c r="H1564">
        <v>160.00659400097328</v>
      </c>
      <c r="I1564">
        <f t="shared" si="24"/>
        <v>0</v>
      </c>
    </row>
    <row r="1565" spans="7:9" x14ac:dyDescent="0.15">
      <c r="G1565">
        <v>1546</v>
      </c>
      <c r="H1565">
        <v>-128.52692029319388</v>
      </c>
      <c r="I1565">
        <f t="shared" si="24"/>
        <v>1</v>
      </c>
    </row>
    <row r="1566" spans="7:9" x14ac:dyDescent="0.15">
      <c r="G1566">
        <v>1547</v>
      </c>
      <c r="H1566">
        <v>243.91592722318092</v>
      </c>
      <c r="I1566">
        <f t="shared" si="24"/>
        <v>0</v>
      </c>
    </row>
    <row r="1567" spans="7:9" x14ac:dyDescent="0.15">
      <c r="G1567">
        <v>1548</v>
      </c>
      <c r="H1567">
        <v>132.04117630399395</v>
      </c>
      <c r="I1567">
        <f t="shared" si="24"/>
        <v>0</v>
      </c>
    </row>
    <row r="1568" spans="7:9" x14ac:dyDescent="0.15">
      <c r="G1568">
        <v>1549</v>
      </c>
      <c r="H1568">
        <v>384.85523247625389</v>
      </c>
      <c r="I1568">
        <f t="shared" si="24"/>
        <v>0</v>
      </c>
    </row>
    <row r="1569" spans="7:9" x14ac:dyDescent="0.15">
      <c r="G1569">
        <v>1550</v>
      </c>
      <c r="H1569">
        <v>-67.49353075078956</v>
      </c>
      <c r="I1569">
        <f t="shared" si="24"/>
        <v>1</v>
      </c>
    </row>
    <row r="1570" spans="7:9" x14ac:dyDescent="0.15">
      <c r="G1570">
        <v>1551</v>
      </c>
      <c r="H1570">
        <v>29.219717552443917</v>
      </c>
      <c r="I1570">
        <f t="shared" si="24"/>
        <v>0</v>
      </c>
    </row>
    <row r="1571" spans="7:9" x14ac:dyDescent="0.15">
      <c r="G1571">
        <v>1552</v>
      </c>
      <c r="H1571">
        <v>-112.8367032057168</v>
      </c>
      <c r="I1571">
        <f t="shared" si="24"/>
        <v>1</v>
      </c>
    </row>
    <row r="1572" spans="7:9" x14ac:dyDescent="0.15">
      <c r="G1572">
        <v>1553</v>
      </c>
      <c r="H1572">
        <v>-80.941709094151548</v>
      </c>
      <c r="I1572">
        <f t="shared" si="24"/>
        <v>1</v>
      </c>
    </row>
    <row r="1573" spans="7:9" x14ac:dyDescent="0.15">
      <c r="G1573">
        <v>1554</v>
      </c>
      <c r="H1573">
        <v>11.20905160234885</v>
      </c>
      <c r="I1573">
        <f t="shared" si="24"/>
        <v>0</v>
      </c>
    </row>
    <row r="1574" spans="7:9" x14ac:dyDescent="0.15">
      <c r="G1574">
        <v>1555</v>
      </c>
      <c r="H1574">
        <v>36.065956249227625</v>
      </c>
      <c r="I1574">
        <f t="shared" si="24"/>
        <v>0</v>
      </c>
    </row>
    <row r="1575" spans="7:9" x14ac:dyDescent="0.15">
      <c r="G1575">
        <v>1556</v>
      </c>
      <c r="H1575">
        <v>-136.82059923076457</v>
      </c>
      <c r="I1575">
        <f t="shared" si="24"/>
        <v>1</v>
      </c>
    </row>
    <row r="1576" spans="7:9" x14ac:dyDescent="0.15">
      <c r="G1576">
        <v>1557</v>
      </c>
      <c r="H1576">
        <v>231.46319705137921</v>
      </c>
      <c r="I1576">
        <f t="shared" si="24"/>
        <v>0</v>
      </c>
    </row>
    <row r="1577" spans="7:9" x14ac:dyDescent="0.15">
      <c r="G1577">
        <v>1558</v>
      </c>
      <c r="H1577">
        <v>717.05105066261126</v>
      </c>
      <c r="I1577">
        <f t="shared" si="24"/>
        <v>0</v>
      </c>
    </row>
    <row r="1578" spans="7:9" x14ac:dyDescent="0.15">
      <c r="G1578">
        <v>1559</v>
      </c>
      <c r="H1578">
        <v>-31.257059519733545</v>
      </c>
      <c r="I1578">
        <f t="shared" si="24"/>
        <v>1</v>
      </c>
    </row>
    <row r="1579" spans="7:9" x14ac:dyDescent="0.15">
      <c r="G1579">
        <v>1560</v>
      </c>
      <c r="H1579">
        <v>-247.53706788576659</v>
      </c>
      <c r="I1579">
        <f t="shared" si="24"/>
        <v>1</v>
      </c>
    </row>
    <row r="1580" spans="7:9" x14ac:dyDescent="0.15">
      <c r="G1580">
        <v>1561</v>
      </c>
      <c r="H1580">
        <v>-115.98697301990076</v>
      </c>
      <c r="I1580">
        <f t="shared" si="24"/>
        <v>1</v>
      </c>
    </row>
    <row r="1581" spans="7:9" x14ac:dyDescent="0.15">
      <c r="G1581">
        <v>1562</v>
      </c>
      <c r="H1581">
        <v>-98.746158674829957</v>
      </c>
      <c r="I1581">
        <f t="shared" si="24"/>
        <v>1</v>
      </c>
    </row>
    <row r="1582" spans="7:9" x14ac:dyDescent="0.15">
      <c r="G1582">
        <v>1563</v>
      </c>
      <c r="H1582">
        <v>66.438732767657626</v>
      </c>
      <c r="I1582">
        <f t="shared" si="24"/>
        <v>0</v>
      </c>
    </row>
    <row r="1583" spans="7:9" x14ac:dyDescent="0.15">
      <c r="G1583">
        <v>1564</v>
      </c>
      <c r="H1583">
        <v>-573.50443118478267</v>
      </c>
      <c r="I1583">
        <f t="shared" si="24"/>
        <v>1</v>
      </c>
    </row>
    <row r="1584" spans="7:9" x14ac:dyDescent="0.15">
      <c r="G1584">
        <v>1565</v>
      </c>
      <c r="H1584">
        <v>92.901095535202444</v>
      </c>
      <c r="I1584">
        <f t="shared" si="24"/>
        <v>0</v>
      </c>
    </row>
    <row r="1585" spans="7:9" x14ac:dyDescent="0.15">
      <c r="G1585">
        <v>1566</v>
      </c>
      <c r="H1585">
        <v>198.72938813691201</v>
      </c>
      <c r="I1585">
        <f t="shared" si="24"/>
        <v>0</v>
      </c>
    </row>
    <row r="1586" spans="7:9" x14ac:dyDescent="0.15">
      <c r="G1586">
        <v>1567</v>
      </c>
      <c r="H1586">
        <v>32.024201550839877</v>
      </c>
      <c r="I1586">
        <f t="shared" si="24"/>
        <v>0</v>
      </c>
    </row>
    <row r="1587" spans="7:9" x14ac:dyDescent="0.15">
      <c r="G1587">
        <v>1568</v>
      </c>
      <c r="H1587">
        <v>203.41165240388011</v>
      </c>
      <c r="I1587">
        <f t="shared" si="24"/>
        <v>0</v>
      </c>
    </row>
    <row r="1588" spans="7:9" x14ac:dyDescent="0.15">
      <c r="G1588">
        <v>1569</v>
      </c>
      <c r="H1588">
        <v>96.272455920474613</v>
      </c>
      <c r="I1588">
        <f t="shared" si="24"/>
        <v>0</v>
      </c>
    </row>
    <row r="1589" spans="7:9" x14ac:dyDescent="0.15">
      <c r="G1589">
        <v>1570</v>
      </c>
      <c r="H1589">
        <v>249.99531235236964</v>
      </c>
      <c r="I1589">
        <f t="shared" si="24"/>
        <v>0</v>
      </c>
    </row>
    <row r="1590" spans="7:9" x14ac:dyDescent="0.15">
      <c r="G1590">
        <v>1571</v>
      </c>
      <c r="H1590">
        <v>-427.27526843248609</v>
      </c>
      <c r="I1590">
        <f t="shared" si="24"/>
        <v>1</v>
      </c>
    </row>
    <row r="1591" spans="7:9" x14ac:dyDescent="0.15">
      <c r="G1591">
        <v>1572</v>
      </c>
      <c r="H1591">
        <v>-124.98004555564658</v>
      </c>
      <c r="I1591">
        <f t="shared" si="24"/>
        <v>1</v>
      </c>
    </row>
    <row r="1592" spans="7:9" x14ac:dyDescent="0.15">
      <c r="G1592">
        <v>1573</v>
      </c>
      <c r="H1592">
        <v>594.88700574146924</v>
      </c>
      <c r="I1592">
        <f t="shared" si="24"/>
        <v>0</v>
      </c>
    </row>
    <row r="1593" spans="7:9" x14ac:dyDescent="0.15">
      <c r="G1593">
        <v>1574</v>
      </c>
      <c r="H1593">
        <v>689.97412909883303</v>
      </c>
      <c r="I1593">
        <f t="shared" si="24"/>
        <v>0</v>
      </c>
    </row>
    <row r="1594" spans="7:9" x14ac:dyDescent="0.15">
      <c r="G1594">
        <v>1575</v>
      </c>
      <c r="H1594">
        <v>62.172700769932078</v>
      </c>
      <c r="I1594">
        <f t="shared" si="24"/>
        <v>0</v>
      </c>
    </row>
    <row r="1595" spans="7:9" x14ac:dyDescent="0.15">
      <c r="G1595">
        <v>1576</v>
      </c>
      <c r="H1595">
        <v>-75.381498385719851</v>
      </c>
      <c r="I1595">
        <f t="shared" si="24"/>
        <v>1</v>
      </c>
    </row>
    <row r="1596" spans="7:9" x14ac:dyDescent="0.15">
      <c r="G1596">
        <v>1577</v>
      </c>
      <c r="H1596">
        <v>-85.431772638906367</v>
      </c>
      <c r="I1596">
        <f t="shared" si="24"/>
        <v>1</v>
      </c>
    </row>
    <row r="1597" spans="7:9" x14ac:dyDescent="0.15">
      <c r="G1597">
        <v>1578</v>
      </c>
      <c r="H1597">
        <v>-157.45515709148856</v>
      </c>
      <c r="I1597">
        <f t="shared" si="24"/>
        <v>1</v>
      </c>
    </row>
    <row r="1598" spans="7:9" x14ac:dyDescent="0.15">
      <c r="G1598">
        <v>1579</v>
      </c>
      <c r="H1598">
        <v>-210.0318327334505</v>
      </c>
      <c r="I1598">
        <f t="shared" si="24"/>
        <v>1</v>
      </c>
    </row>
    <row r="1599" spans="7:9" x14ac:dyDescent="0.15">
      <c r="G1599">
        <v>1580</v>
      </c>
      <c r="H1599">
        <v>321.94486355460975</v>
      </c>
      <c r="I1599">
        <f t="shared" si="24"/>
        <v>0</v>
      </c>
    </row>
    <row r="1600" spans="7:9" x14ac:dyDescent="0.15">
      <c r="G1600">
        <v>1581</v>
      </c>
      <c r="H1600">
        <v>-10.785291030181938</v>
      </c>
      <c r="I1600">
        <f t="shared" si="24"/>
        <v>1</v>
      </c>
    </row>
    <row r="1601" spans="7:9" x14ac:dyDescent="0.15">
      <c r="G1601">
        <v>1582</v>
      </c>
      <c r="H1601">
        <v>-164.8344105630454</v>
      </c>
      <c r="I1601">
        <f t="shared" si="24"/>
        <v>1</v>
      </c>
    </row>
    <row r="1602" spans="7:9" x14ac:dyDescent="0.15">
      <c r="G1602">
        <v>1583</v>
      </c>
      <c r="H1602">
        <v>113.69221721163125</v>
      </c>
      <c r="I1602">
        <f t="shared" si="24"/>
        <v>0</v>
      </c>
    </row>
    <row r="1603" spans="7:9" x14ac:dyDescent="0.15">
      <c r="G1603">
        <v>1584</v>
      </c>
      <c r="H1603">
        <v>-299.57632720272443</v>
      </c>
      <c r="I1603">
        <f t="shared" si="24"/>
        <v>1</v>
      </c>
    </row>
    <row r="1604" spans="7:9" x14ac:dyDescent="0.15">
      <c r="G1604">
        <v>1585</v>
      </c>
      <c r="H1604">
        <v>-16.179462488197508</v>
      </c>
      <c r="I1604">
        <f t="shared" si="24"/>
        <v>1</v>
      </c>
    </row>
    <row r="1605" spans="7:9" x14ac:dyDescent="0.15">
      <c r="G1605">
        <v>1586</v>
      </c>
      <c r="H1605">
        <v>-115.11591119482583</v>
      </c>
      <c r="I1605">
        <f t="shared" si="24"/>
        <v>1</v>
      </c>
    </row>
    <row r="1606" spans="7:9" x14ac:dyDescent="0.15">
      <c r="G1606">
        <v>1587</v>
      </c>
      <c r="H1606">
        <v>-371.86178644985392</v>
      </c>
      <c r="I1606">
        <f t="shared" si="24"/>
        <v>1</v>
      </c>
    </row>
    <row r="1607" spans="7:9" x14ac:dyDescent="0.15">
      <c r="G1607">
        <v>1588</v>
      </c>
      <c r="H1607">
        <v>708.57624101921135</v>
      </c>
      <c r="I1607">
        <f t="shared" si="24"/>
        <v>0</v>
      </c>
    </row>
    <row r="1608" spans="7:9" x14ac:dyDescent="0.15">
      <c r="G1608">
        <v>1589</v>
      </c>
      <c r="H1608">
        <v>198.96491506537913</v>
      </c>
      <c r="I1608">
        <f t="shared" si="24"/>
        <v>0</v>
      </c>
    </row>
    <row r="1609" spans="7:9" x14ac:dyDescent="0.15">
      <c r="G1609">
        <v>1590</v>
      </c>
      <c r="H1609">
        <v>-70.203983739125619</v>
      </c>
      <c r="I1609">
        <f t="shared" si="24"/>
        <v>1</v>
      </c>
    </row>
    <row r="1610" spans="7:9" x14ac:dyDescent="0.15">
      <c r="G1610">
        <v>1591</v>
      </c>
      <c r="H1610">
        <v>-208.42298981301161</v>
      </c>
      <c r="I1610">
        <f t="shared" si="24"/>
        <v>1</v>
      </c>
    </row>
    <row r="1611" spans="7:9" x14ac:dyDescent="0.15">
      <c r="G1611">
        <v>1592</v>
      </c>
      <c r="H1611">
        <v>-300.18916463564602</v>
      </c>
      <c r="I1611">
        <f t="shared" si="24"/>
        <v>1</v>
      </c>
    </row>
    <row r="1612" spans="7:9" x14ac:dyDescent="0.15">
      <c r="G1612">
        <v>1593</v>
      </c>
      <c r="H1612">
        <v>136.74198752094622</v>
      </c>
      <c r="I1612">
        <f t="shared" si="24"/>
        <v>0</v>
      </c>
    </row>
    <row r="1613" spans="7:9" x14ac:dyDescent="0.15">
      <c r="G1613">
        <v>1594</v>
      </c>
      <c r="H1613">
        <v>448.49169635070746</v>
      </c>
      <c r="I1613">
        <f t="shared" si="24"/>
        <v>0</v>
      </c>
    </row>
    <row r="1614" spans="7:9" x14ac:dyDescent="0.15">
      <c r="G1614">
        <v>1595</v>
      </c>
      <c r="H1614">
        <v>-237.1036657031307</v>
      </c>
      <c r="I1614">
        <f t="shared" si="24"/>
        <v>1</v>
      </c>
    </row>
    <row r="1615" spans="7:9" x14ac:dyDescent="0.15">
      <c r="G1615">
        <v>1596</v>
      </c>
      <c r="H1615">
        <v>23.004340815626406</v>
      </c>
      <c r="I1615">
        <f t="shared" si="24"/>
        <v>0</v>
      </c>
    </row>
    <row r="1616" spans="7:9" x14ac:dyDescent="0.15">
      <c r="G1616">
        <v>1597</v>
      </c>
      <c r="H1616">
        <v>-58.966464428644798</v>
      </c>
      <c r="I1616">
        <f t="shared" si="24"/>
        <v>1</v>
      </c>
    </row>
    <row r="1617" spans="7:9" x14ac:dyDescent="0.15">
      <c r="G1617">
        <v>1598</v>
      </c>
      <c r="H1617">
        <v>-315.12558324514521</v>
      </c>
      <c r="I1617">
        <f t="shared" si="24"/>
        <v>1</v>
      </c>
    </row>
    <row r="1618" spans="7:9" x14ac:dyDescent="0.15">
      <c r="G1618">
        <v>1599</v>
      </c>
      <c r="H1618">
        <v>-98.758677477800205</v>
      </c>
      <c r="I1618">
        <f t="shared" si="24"/>
        <v>1</v>
      </c>
    </row>
    <row r="1619" spans="7:9" x14ac:dyDescent="0.15">
      <c r="G1619">
        <v>1600</v>
      </c>
      <c r="H1619">
        <v>368.48445923008506</v>
      </c>
      <c r="I1619">
        <f t="shared" si="24"/>
        <v>0</v>
      </c>
    </row>
    <row r="1620" spans="7:9" x14ac:dyDescent="0.15">
      <c r="G1620">
        <v>1601</v>
      </c>
      <c r="H1620">
        <v>-364.8614343969889</v>
      </c>
      <c r="I1620">
        <f t="shared" si="24"/>
        <v>1</v>
      </c>
    </row>
    <row r="1621" spans="7:9" x14ac:dyDescent="0.15">
      <c r="G1621">
        <v>1602</v>
      </c>
      <c r="H1621">
        <v>-44.784739280362245</v>
      </c>
      <c r="I1621">
        <f t="shared" ref="I1621:I1684" si="25">IF(H1621&lt;0,1,0)</f>
        <v>1</v>
      </c>
    </row>
    <row r="1622" spans="7:9" x14ac:dyDescent="0.15">
      <c r="G1622">
        <v>1603</v>
      </c>
      <c r="H1622">
        <v>1.0691421913608252</v>
      </c>
      <c r="I1622">
        <f t="shared" si="25"/>
        <v>0</v>
      </c>
    </row>
    <row r="1623" spans="7:9" x14ac:dyDescent="0.15">
      <c r="G1623">
        <v>1604</v>
      </c>
      <c r="H1623">
        <v>-22.62959644712214</v>
      </c>
      <c r="I1623">
        <f t="shared" si="25"/>
        <v>1</v>
      </c>
    </row>
    <row r="1624" spans="7:9" x14ac:dyDescent="0.15">
      <c r="G1624">
        <v>1605</v>
      </c>
      <c r="H1624">
        <v>187.48947007200474</v>
      </c>
      <c r="I1624">
        <f t="shared" si="25"/>
        <v>0</v>
      </c>
    </row>
    <row r="1625" spans="7:9" x14ac:dyDescent="0.15">
      <c r="G1625">
        <v>1606</v>
      </c>
      <c r="H1625">
        <v>795.58465892538925</v>
      </c>
      <c r="I1625">
        <f t="shared" si="25"/>
        <v>0</v>
      </c>
    </row>
    <row r="1626" spans="7:9" x14ac:dyDescent="0.15">
      <c r="G1626">
        <v>1607</v>
      </c>
      <c r="H1626">
        <v>-149.89294233714679</v>
      </c>
      <c r="I1626">
        <f t="shared" si="25"/>
        <v>1</v>
      </c>
    </row>
    <row r="1627" spans="7:9" x14ac:dyDescent="0.15">
      <c r="G1627">
        <v>1608</v>
      </c>
      <c r="H1627">
        <v>253.90401597678812</v>
      </c>
      <c r="I1627">
        <f t="shared" si="25"/>
        <v>0</v>
      </c>
    </row>
    <row r="1628" spans="7:9" x14ac:dyDescent="0.15">
      <c r="G1628">
        <v>1609</v>
      </c>
      <c r="H1628">
        <v>41.033637016469157</v>
      </c>
      <c r="I1628">
        <f t="shared" si="25"/>
        <v>0</v>
      </c>
    </row>
    <row r="1629" spans="7:9" x14ac:dyDescent="0.15">
      <c r="G1629">
        <v>1610</v>
      </c>
      <c r="H1629">
        <v>139.64345143368237</v>
      </c>
      <c r="I1629">
        <f t="shared" si="25"/>
        <v>0</v>
      </c>
    </row>
    <row r="1630" spans="7:9" x14ac:dyDescent="0.15">
      <c r="G1630">
        <v>1611</v>
      </c>
      <c r="H1630">
        <v>30.586880664466527</v>
      </c>
      <c r="I1630">
        <f t="shared" si="25"/>
        <v>0</v>
      </c>
    </row>
    <row r="1631" spans="7:9" x14ac:dyDescent="0.15">
      <c r="G1631">
        <v>1612</v>
      </c>
      <c r="H1631">
        <v>-108.42100952459046</v>
      </c>
      <c r="I1631">
        <f t="shared" si="25"/>
        <v>1</v>
      </c>
    </row>
    <row r="1632" spans="7:9" x14ac:dyDescent="0.15">
      <c r="G1632">
        <v>1613</v>
      </c>
      <c r="H1632">
        <v>-316.90955864588886</v>
      </c>
      <c r="I1632">
        <f t="shared" si="25"/>
        <v>1</v>
      </c>
    </row>
    <row r="1633" spans="7:9" x14ac:dyDescent="0.15">
      <c r="G1633">
        <v>1614</v>
      </c>
      <c r="H1633">
        <v>150.7614565916669</v>
      </c>
      <c r="I1633">
        <f t="shared" si="25"/>
        <v>0</v>
      </c>
    </row>
    <row r="1634" spans="7:9" x14ac:dyDescent="0.15">
      <c r="G1634">
        <v>1615</v>
      </c>
      <c r="H1634">
        <v>-55.976654352616627</v>
      </c>
      <c r="I1634">
        <f t="shared" si="25"/>
        <v>1</v>
      </c>
    </row>
    <row r="1635" spans="7:9" x14ac:dyDescent="0.15">
      <c r="G1635">
        <v>1616</v>
      </c>
      <c r="H1635">
        <v>437.84686933312042</v>
      </c>
      <c r="I1635">
        <f t="shared" si="25"/>
        <v>0</v>
      </c>
    </row>
    <row r="1636" spans="7:9" x14ac:dyDescent="0.15">
      <c r="G1636">
        <v>1617</v>
      </c>
      <c r="H1636">
        <v>-19.490423995773639</v>
      </c>
      <c r="I1636">
        <f t="shared" si="25"/>
        <v>1</v>
      </c>
    </row>
    <row r="1637" spans="7:9" x14ac:dyDescent="0.15">
      <c r="G1637">
        <v>1618</v>
      </c>
      <c r="H1637">
        <v>-31.059158881977055</v>
      </c>
      <c r="I1637">
        <f t="shared" si="25"/>
        <v>1</v>
      </c>
    </row>
    <row r="1638" spans="7:9" x14ac:dyDescent="0.15">
      <c r="G1638">
        <v>1619</v>
      </c>
      <c r="H1638">
        <v>529.03985727389158</v>
      </c>
      <c r="I1638">
        <f t="shared" si="25"/>
        <v>0</v>
      </c>
    </row>
    <row r="1639" spans="7:9" x14ac:dyDescent="0.15">
      <c r="G1639">
        <v>1620</v>
      </c>
      <c r="H1639">
        <v>196.63389676072345</v>
      </c>
      <c r="I1639">
        <f t="shared" si="25"/>
        <v>0</v>
      </c>
    </row>
    <row r="1640" spans="7:9" x14ac:dyDescent="0.15">
      <c r="G1640">
        <v>1621</v>
      </c>
      <c r="H1640">
        <v>-31.423250235093221</v>
      </c>
      <c r="I1640">
        <f t="shared" si="25"/>
        <v>1</v>
      </c>
    </row>
    <row r="1641" spans="7:9" x14ac:dyDescent="0.15">
      <c r="G1641">
        <v>1622</v>
      </c>
      <c r="H1641">
        <v>214.04965337646786</v>
      </c>
      <c r="I1641">
        <f t="shared" si="25"/>
        <v>0</v>
      </c>
    </row>
    <row r="1642" spans="7:9" x14ac:dyDescent="0.15">
      <c r="G1642">
        <v>1623</v>
      </c>
      <c r="H1642">
        <v>64.163809249883002</v>
      </c>
      <c r="I1642">
        <f t="shared" si="25"/>
        <v>0</v>
      </c>
    </row>
    <row r="1643" spans="7:9" x14ac:dyDescent="0.15">
      <c r="G1643">
        <v>1624</v>
      </c>
      <c r="H1643">
        <v>182.07727129308097</v>
      </c>
      <c r="I1643">
        <f t="shared" si="25"/>
        <v>0</v>
      </c>
    </row>
    <row r="1644" spans="7:9" x14ac:dyDescent="0.15">
      <c r="G1644">
        <v>1625</v>
      </c>
      <c r="H1644">
        <v>-32.33067449547422</v>
      </c>
      <c r="I1644">
        <f t="shared" si="25"/>
        <v>1</v>
      </c>
    </row>
    <row r="1645" spans="7:9" x14ac:dyDescent="0.15">
      <c r="G1645">
        <v>1626</v>
      </c>
      <c r="H1645">
        <v>590.5078670182819</v>
      </c>
      <c r="I1645">
        <f t="shared" si="25"/>
        <v>0</v>
      </c>
    </row>
    <row r="1646" spans="7:9" x14ac:dyDescent="0.15">
      <c r="G1646">
        <v>1627</v>
      </c>
      <c r="H1646">
        <v>207.919564700965</v>
      </c>
      <c r="I1646">
        <f t="shared" si="25"/>
        <v>0</v>
      </c>
    </row>
    <row r="1647" spans="7:9" x14ac:dyDescent="0.15">
      <c r="G1647">
        <v>1628</v>
      </c>
      <c r="H1647">
        <v>153.47096190189757</v>
      </c>
      <c r="I1647">
        <f t="shared" si="25"/>
        <v>0</v>
      </c>
    </row>
    <row r="1648" spans="7:9" x14ac:dyDescent="0.15">
      <c r="G1648">
        <v>1629</v>
      </c>
      <c r="H1648">
        <v>147.15814563971196</v>
      </c>
      <c r="I1648">
        <f t="shared" si="25"/>
        <v>0</v>
      </c>
    </row>
    <row r="1649" spans="7:9" x14ac:dyDescent="0.15">
      <c r="G1649">
        <v>1630</v>
      </c>
      <c r="H1649">
        <v>-573.07893569557984</v>
      </c>
      <c r="I1649">
        <f t="shared" si="25"/>
        <v>1</v>
      </c>
    </row>
    <row r="1650" spans="7:9" x14ac:dyDescent="0.15">
      <c r="G1650">
        <v>1631</v>
      </c>
      <c r="H1650">
        <v>-339.01900828283868</v>
      </c>
      <c r="I1650">
        <f t="shared" si="25"/>
        <v>1</v>
      </c>
    </row>
    <row r="1651" spans="7:9" x14ac:dyDescent="0.15">
      <c r="G1651">
        <v>1632</v>
      </c>
      <c r="H1651">
        <v>129.54987978245376</v>
      </c>
      <c r="I1651">
        <f t="shared" si="25"/>
        <v>0</v>
      </c>
    </row>
    <row r="1652" spans="7:9" x14ac:dyDescent="0.15">
      <c r="G1652">
        <v>1633</v>
      </c>
      <c r="H1652">
        <v>-264.53392097710667</v>
      </c>
      <c r="I1652">
        <f t="shared" si="25"/>
        <v>1</v>
      </c>
    </row>
    <row r="1653" spans="7:9" x14ac:dyDescent="0.15">
      <c r="G1653">
        <v>1634</v>
      </c>
      <c r="H1653">
        <v>2.3294474196094228</v>
      </c>
      <c r="I1653">
        <f t="shared" si="25"/>
        <v>0</v>
      </c>
    </row>
    <row r="1654" spans="7:9" x14ac:dyDescent="0.15">
      <c r="G1654">
        <v>1635</v>
      </c>
      <c r="H1654">
        <v>-302.5015665941587</v>
      </c>
      <c r="I1654">
        <f t="shared" si="25"/>
        <v>1</v>
      </c>
    </row>
    <row r="1655" spans="7:9" x14ac:dyDescent="0.15">
      <c r="G1655">
        <v>1636</v>
      </c>
      <c r="H1655">
        <v>471.11265955577886</v>
      </c>
      <c r="I1655">
        <f t="shared" si="25"/>
        <v>0</v>
      </c>
    </row>
    <row r="1656" spans="7:9" x14ac:dyDescent="0.15">
      <c r="G1656">
        <v>1637</v>
      </c>
      <c r="H1656">
        <v>328.77580151422546</v>
      </c>
      <c r="I1656">
        <f t="shared" si="25"/>
        <v>0</v>
      </c>
    </row>
    <row r="1657" spans="7:9" x14ac:dyDescent="0.15">
      <c r="G1657">
        <v>1638</v>
      </c>
      <c r="H1657">
        <v>305.65103407355019</v>
      </c>
      <c r="I1657">
        <f t="shared" si="25"/>
        <v>0</v>
      </c>
    </row>
    <row r="1658" spans="7:9" x14ac:dyDescent="0.15">
      <c r="G1658">
        <v>1639</v>
      </c>
      <c r="H1658">
        <v>-213.24604400404544</v>
      </c>
      <c r="I1658">
        <f t="shared" si="25"/>
        <v>1</v>
      </c>
    </row>
    <row r="1659" spans="7:9" x14ac:dyDescent="0.15">
      <c r="G1659">
        <v>1640</v>
      </c>
      <c r="H1659">
        <v>143.53603068554503</v>
      </c>
      <c r="I1659">
        <f t="shared" si="25"/>
        <v>0</v>
      </c>
    </row>
    <row r="1660" spans="7:9" x14ac:dyDescent="0.15">
      <c r="G1660">
        <v>1641</v>
      </c>
      <c r="H1660">
        <v>429.47934220300914</v>
      </c>
      <c r="I1660">
        <f t="shared" si="25"/>
        <v>0</v>
      </c>
    </row>
    <row r="1661" spans="7:9" x14ac:dyDescent="0.15">
      <c r="G1661">
        <v>1642</v>
      </c>
      <c r="H1661">
        <v>-453.96904176479012</v>
      </c>
      <c r="I1661">
        <f t="shared" si="25"/>
        <v>1</v>
      </c>
    </row>
    <row r="1662" spans="7:9" x14ac:dyDescent="0.15">
      <c r="G1662">
        <v>1643</v>
      </c>
      <c r="H1662">
        <v>300.21209841225669</v>
      </c>
      <c r="I1662">
        <f t="shared" si="25"/>
        <v>0</v>
      </c>
    </row>
    <row r="1663" spans="7:9" x14ac:dyDescent="0.15">
      <c r="G1663">
        <v>1644</v>
      </c>
      <c r="H1663">
        <v>-77.097239494070152</v>
      </c>
      <c r="I1663">
        <f t="shared" si="25"/>
        <v>1</v>
      </c>
    </row>
    <row r="1664" spans="7:9" x14ac:dyDescent="0.15">
      <c r="G1664">
        <v>1645</v>
      </c>
      <c r="H1664">
        <v>235.40823677829502</v>
      </c>
      <c r="I1664">
        <f t="shared" si="25"/>
        <v>0</v>
      </c>
    </row>
    <row r="1665" spans="7:9" x14ac:dyDescent="0.15">
      <c r="G1665">
        <v>1646</v>
      </c>
      <c r="H1665">
        <v>-116.11149171651198</v>
      </c>
      <c r="I1665">
        <f t="shared" si="25"/>
        <v>1</v>
      </c>
    </row>
    <row r="1666" spans="7:9" x14ac:dyDescent="0.15">
      <c r="G1666">
        <v>1647</v>
      </c>
      <c r="H1666">
        <v>217.47153853407951</v>
      </c>
      <c r="I1666">
        <f t="shared" si="25"/>
        <v>0</v>
      </c>
    </row>
    <row r="1667" spans="7:9" x14ac:dyDescent="0.15">
      <c r="G1667">
        <v>1648</v>
      </c>
      <c r="H1667">
        <v>86.527942674027599</v>
      </c>
      <c r="I1667">
        <f t="shared" si="25"/>
        <v>0</v>
      </c>
    </row>
    <row r="1668" spans="7:9" x14ac:dyDescent="0.15">
      <c r="G1668">
        <v>1649</v>
      </c>
      <c r="H1668">
        <v>-14.287087905132942</v>
      </c>
      <c r="I1668">
        <f t="shared" si="25"/>
        <v>1</v>
      </c>
    </row>
    <row r="1669" spans="7:9" x14ac:dyDescent="0.15">
      <c r="G1669">
        <v>1650</v>
      </c>
      <c r="H1669">
        <v>288.1605011502557</v>
      </c>
      <c r="I1669">
        <f t="shared" si="25"/>
        <v>0</v>
      </c>
    </row>
    <row r="1670" spans="7:9" x14ac:dyDescent="0.15">
      <c r="G1670">
        <v>1651</v>
      </c>
      <c r="H1670">
        <v>-292.78185789135449</v>
      </c>
      <c r="I1670">
        <f t="shared" si="25"/>
        <v>1</v>
      </c>
    </row>
    <row r="1671" spans="7:9" x14ac:dyDescent="0.15">
      <c r="G1671">
        <v>1652</v>
      </c>
      <c r="H1671">
        <v>-418.35471151194929</v>
      </c>
      <c r="I1671">
        <f t="shared" si="25"/>
        <v>1</v>
      </c>
    </row>
    <row r="1672" spans="7:9" x14ac:dyDescent="0.15">
      <c r="G1672">
        <v>1653</v>
      </c>
      <c r="H1672">
        <v>449.28150292162201</v>
      </c>
      <c r="I1672">
        <f t="shared" si="25"/>
        <v>0</v>
      </c>
    </row>
    <row r="1673" spans="7:9" x14ac:dyDescent="0.15">
      <c r="G1673">
        <v>1654</v>
      </c>
      <c r="H1673">
        <v>-69.24157913036305</v>
      </c>
      <c r="I1673">
        <f t="shared" si="25"/>
        <v>1</v>
      </c>
    </row>
    <row r="1674" spans="7:9" x14ac:dyDescent="0.15">
      <c r="G1674">
        <v>1655</v>
      </c>
      <c r="H1674">
        <v>45.333402333671017</v>
      </c>
      <c r="I1674">
        <f t="shared" si="25"/>
        <v>0</v>
      </c>
    </row>
    <row r="1675" spans="7:9" x14ac:dyDescent="0.15">
      <c r="G1675">
        <v>1656</v>
      </c>
      <c r="H1675">
        <v>-91.913207280776078</v>
      </c>
      <c r="I1675">
        <f t="shared" si="25"/>
        <v>1</v>
      </c>
    </row>
    <row r="1676" spans="7:9" x14ac:dyDescent="0.15">
      <c r="G1676">
        <v>1657</v>
      </c>
      <c r="H1676">
        <v>-90.954658410893558</v>
      </c>
      <c r="I1676">
        <f t="shared" si="25"/>
        <v>1</v>
      </c>
    </row>
    <row r="1677" spans="7:9" x14ac:dyDescent="0.15">
      <c r="G1677">
        <v>1658</v>
      </c>
      <c r="H1677">
        <v>64.748333941870001</v>
      </c>
      <c r="I1677">
        <f t="shared" si="25"/>
        <v>0</v>
      </c>
    </row>
    <row r="1678" spans="7:9" x14ac:dyDescent="0.15">
      <c r="G1678">
        <v>1659</v>
      </c>
      <c r="H1678">
        <v>663.17715724708717</v>
      </c>
      <c r="I1678">
        <f t="shared" si="25"/>
        <v>0</v>
      </c>
    </row>
    <row r="1679" spans="7:9" x14ac:dyDescent="0.15">
      <c r="G1679">
        <v>1660</v>
      </c>
      <c r="H1679">
        <v>270.55283397966565</v>
      </c>
      <c r="I1679">
        <f t="shared" si="25"/>
        <v>0</v>
      </c>
    </row>
    <row r="1680" spans="7:9" x14ac:dyDescent="0.15">
      <c r="G1680">
        <v>1661</v>
      </c>
      <c r="H1680">
        <v>-9.348951078781198E-2</v>
      </c>
      <c r="I1680">
        <f t="shared" si="25"/>
        <v>1</v>
      </c>
    </row>
    <row r="1681" spans="7:9" x14ac:dyDescent="0.15">
      <c r="G1681">
        <v>1662</v>
      </c>
      <c r="H1681">
        <v>-221.57431152512575</v>
      </c>
      <c r="I1681">
        <f t="shared" si="25"/>
        <v>1</v>
      </c>
    </row>
    <row r="1682" spans="7:9" x14ac:dyDescent="0.15">
      <c r="G1682">
        <v>1663</v>
      </c>
      <c r="H1682">
        <v>-175.9089640126127</v>
      </c>
      <c r="I1682">
        <f t="shared" si="25"/>
        <v>1</v>
      </c>
    </row>
    <row r="1683" spans="7:9" x14ac:dyDescent="0.15">
      <c r="G1683">
        <v>1664</v>
      </c>
      <c r="H1683">
        <v>-29.07707084779404</v>
      </c>
      <c r="I1683">
        <f t="shared" si="25"/>
        <v>1</v>
      </c>
    </row>
    <row r="1684" spans="7:9" x14ac:dyDescent="0.15">
      <c r="G1684">
        <v>1665</v>
      </c>
      <c r="H1684">
        <v>-69.108890900013833</v>
      </c>
      <c r="I1684">
        <f t="shared" si="25"/>
        <v>1</v>
      </c>
    </row>
    <row r="1685" spans="7:9" x14ac:dyDescent="0.15">
      <c r="G1685">
        <v>1666</v>
      </c>
      <c r="H1685">
        <v>-326.85521031455716</v>
      </c>
      <c r="I1685">
        <f t="shared" ref="I1685:I1748" si="26">IF(H1685&lt;0,1,0)</f>
        <v>1</v>
      </c>
    </row>
    <row r="1686" spans="7:9" x14ac:dyDescent="0.15">
      <c r="G1686">
        <v>1667</v>
      </c>
      <c r="H1686">
        <v>182.5278896560221</v>
      </c>
      <c r="I1686">
        <f t="shared" si="26"/>
        <v>0</v>
      </c>
    </row>
    <row r="1687" spans="7:9" x14ac:dyDescent="0.15">
      <c r="G1687">
        <v>1668</v>
      </c>
      <c r="H1687">
        <v>-274.63857980537466</v>
      </c>
      <c r="I1687">
        <f t="shared" si="26"/>
        <v>1</v>
      </c>
    </row>
    <row r="1688" spans="7:9" x14ac:dyDescent="0.15">
      <c r="G1688">
        <v>1669</v>
      </c>
      <c r="H1688">
        <v>-44.049429678474979</v>
      </c>
      <c r="I1688">
        <f t="shared" si="26"/>
        <v>1</v>
      </c>
    </row>
    <row r="1689" spans="7:9" x14ac:dyDescent="0.15">
      <c r="G1689">
        <v>1670</v>
      </c>
      <c r="H1689">
        <v>187.75721651889091</v>
      </c>
      <c r="I1689">
        <f t="shared" si="26"/>
        <v>0</v>
      </c>
    </row>
    <row r="1690" spans="7:9" x14ac:dyDescent="0.15">
      <c r="G1690">
        <v>1671</v>
      </c>
      <c r="H1690">
        <v>-167.75125066478833</v>
      </c>
      <c r="I1690">
        <f t="shared" si="26"/>
        <v>1</v>
      </c>
    </row>
    <row r="1691" spans="7:9" x14ac:dyDescent="0.15">
      <c r="G1691">
        <v>1672</v>
      </c>
      <c r="H1691">
        <v>418.84879072233008</v>
      </c>
      <c r="I1691">
        <f t="shared" si="26"/>
        <v>0</v>
      </c>
    </row>
    <row r="1692" spans="7:9" x14ac:dyDescent="0.15">
      <c r="G1692">
        <v>1673</v>
      </c>
      <c r="H1692">
        <v>117.84088446403142</v>
      </c>
      <c r="I1692">
        <f t="shared" si="26"/>
        <v>0</v>
      </c>
    </row>
    <row r="1693" spans="7:9" x14ac:dyDescent="0.15">
      <c r="G1693">
        <v>1674</v>
      </c>
      <c r="H1693">
        <v>-51.39799016067677</v>
      </c>
      <c r="I1693">
        <f t="shared" si="26"/>
        <v>1</v>
      </c>
    </row>
    <row r="1694" spans="7:9" x14ac:dyDescent="0.15">
      <c r="G1694">
        <v>1675</v>
      </c>
      <c r="H1694">
        <v>126.75373525545723</v>
      </c>
      <c r="I1694">
        <f t="shared" si="26"/>
        <v>0</v>
      </c>
    </row>
    <row r="1695" spans="7:9" x14ac:dyDescent="0.15">
      <c r="G1695">
        <v>1676</v>
      </c>
      <c r="H1695">
        <v>357.42651323443067</v>
      </c>
      <c r="I1695">
        <f t="shared" si="26"/>
        <v>0</v>
      </c>
    </row>
    <row r="1696" spans="7:9" x14ac:dyDescent="0.15">
      <c r="G1696">
        <v>1677</v>
      </c>
      <c r="H1696">
        <v>-233.3033471161508</v>
      </c>
      <c r="I1696">
        <f t="shared" si="26"/>
        <v>1</v>
      </c>
    </row>
    <row r="1697" spans="7:9" x14ac:dyDescent="0.15">
      <c r="G1697">
        <v>1678</v>
      </c>
      <c r="H1697">
        <v>-471.52572580694738</v>
      </c>
      <c r="I1697">
        <f t="shared" si="26"/>
        <v>1</v>
      </c>
    </row>
    <row r="1698" spans="7:9" x14ac:dyDescent="0.15">
      <c r="G1698">
        <v>1679</v>
      </c>
      <c r="H1698">
        <v>28.303261092136928</v>
      </c>
      <c r="I1698">
        <f t="shared" si="26"/>
        <v>0</v>
      </c>
    </row>
    <row r="1699" spans="7:9" x14ac:dyDescent="0.15">
      <c r="G1699">
        <v>1680</v>
      </c>
      <c r="H1699">
        <v>164.30726740568741</v>
      </c>
      <c r="I1699">
        <f t="shared" si="26"/>
        <v>0</v>
      </c>
    </row>
    <row r="1700" spans="7:9" x14ac:dyDescent="0.15">
      <c r="G1700">
        <v>1681</v>
      </c>
      <c r="H1700">
        <v>-457.25095386851103</v>
      </c>
      <c r="I1700">
        <f t="shared" si="26"/>
        <v>1</v>
      </c>
    </row>
    <row r="1701" spans="7:9" x14ac:dyDescent="0.15">
      <c r="G1701">
        <v>1682</v>
      </c>
      <c r="H1701">
        <v>195.33998163011023</v>
      </c>
      <c r="I1701">
        <f t="shared" si="26"/>
        <v>0</v>
      </c>
    </row>
    <row r="1702" spans="7:9" x14ac:dyDescent="0.15">
      <c r="G1702">
        <v>1683</v>
      </c>
      <c r="H1702">
        <v>-9.5197276075125501</v>
      </c>
      <c r="I1702">
        <f t="shared" si="26"/>
        <v>1</v>
      </c>
    </row>
    <row r="1703" spans="7:9" x14ac:dyDescent="0.15">
      <c r="G1703">
        <v>1684</v>
      </c>
      <c r="H1703">
        <v>796.23008711278828</v>
      </c>
      <c r="I1703">
        <f t="shared" si="26"/>
        <v>0</v>
      </c>
    </row>
    <row r="1704" spans="7:9" x14ac:dyDescent="0.15">
      <c r="G1704">
        <v>1685</v>
      </c>
      <c r="H1704">
        <v>527.5608030161934</v>
      </c>
      <c r="I1704">
        <f t="shared" si="26"/>
        <v>0</v>
      </c>
    </row>
    <row r="1705" spans="7:9" x14ac:dyDescent="0.15">
      <c r="G1705">
        <v>1686</v>
      </c>
      <c r="H1705">
        <v>90.732077952770993</v>
      </c>
      <c r="I1705">
        <f t="shared" si="26"/>
        <v>0</v>
      </c>
    </row>
    <row r="1706" spans="7:9" x14ac:dyDescent="0.15">
      <c r="G1706">
        <v>1687</v>
      </c>
      <c r="H1706">
        <v>-21.569851449327032</v>
      </c>
      <c r="I1706">
        <f t="shared" si="26"/>
        <v>1</v>
      </c>
    </row>
    <row r="1707" spans="7:9" x14ac:dyDescent="0.15">
      <c r="G1707">
        <v>1688</v>
      </c>
      <c r="H1707">
        <v>292.83907295321495</v>
      </c>
      <c r="I1707">
        <f t="shared" si="26"/>
        <v>0</v>
      </c>
    </row>
    <row r="1708" spans="7:9" x14ac:dyDescent="0.15">
      <c r="G1708">
        <v>1689</v>
      </c>
      <c r="H1708">
        <v>-171.7463707666225</v>
      </c>
      <c r="I1708">
        <f t="shared" si="26"/>
        <v>1</v>
      </c>
    </row>
    <row r="1709" spans="7:9" x14ac:dyDescent="0.15">
      <c r="G1709">
        <v>1690</v>
      </c>
      <c r="H1709">
        <v>-79.469449141775911</v>
      </c>
      <c r="I1709">
        <f t="shared" si="26"/>
        <v>1</v>
      </c>
    </row>
    <row r="1710" spans="7:9" x14ac:dyDescent="0.15">
      <c r="G1710">
        <v>1691</v>
      </c>
      <c r="H1710">
        <v>304.2329927982035</v>
      </c>
      <c r="I1710">
        <f t="shared" si="26"/>
        <v>0</v>
      </c>
    </row>
    <row r="1711" spans="7:9" x14ac:dyDescent="0.15">
      <c r="G1711">
        <v>1692</v>
      </c>
      <c r="H1711">
        <v>133.12556158051302</v>
      </c>
      <c r="I1711">
        <f t="shared" si="26"/>
        <v>0</v>
      </c>
    </row>
    <row r="1712" spans="7:9" x14ac:dyDescent="0.15">
      <c r="G1712">
        <v>1693</v>
      </c>
      <c r="H1712">
        <v>-83.77945709697687</v>
      </c>
      <c r="I1712">
        <f t="shared" si="26"/>
        <v>1</v>
      </c>
    </row>
    <row r="1713" spans="7:9" x14ac:dyDescent="0.15">
      <c r="G1713">
        <v>1694</v>
      </c>
      <c r="H1713">
        <v>-202.98195223387094</v>
      </c>
      <c r="I1713">
        <f t="shared" si="26"/>
        <v>1</v>
      </c>
    </row>
    <row r="1714" spans="7:9" x14ac:dyDescent="0.15">
      <c r="G1714">
        <v>1695</v>
      </c>
      <c r="H1714">
        <v>105.69315439910953</v>
      </c>
      <c r="I1714">
        <f t="shared" si="26"/>
        <v>0</v>
      </c>
    </row>
    <row r="1715" spans="7:9" x14ac:dyDescent="0.15">
      <c r="G1715">
        <v>1696</v>
      </c>
      <c r="H1715">
        <v>976.96197270329185</v>
      </c>
      <c r="I1715">
        <f t="shared" si="26"/>
        <v>0</v>
      </c>
    </row>
    <row r="1716" spans="7:9" x14ac:dyDescent="0.15">
      <c r="G1716">
        <v>1697</v>
      </c>
      <c r="H1716">
        <v>366.62879080190589</v>
      </c>
      <c r="I1716">
        <f t="shared" si="26"/>
        <v>0</v>
      </c>
    </row>
    <row r="1717" spans="7:9" x14ac:dyDescent="0.15">
      <c r="G1717">
        <v>1698</v>
      </c>
      <c r="H1717">
        <v>342.10242636687826</v>
      </c>
      <c r="I1717">
        <f t="shared" si="26"/>
        <v>0</v>
      </c>
    </row>
    <row r="1718" spans="7:9" x14ac:dyDescent="0.15">
      <c r="G1718">
        <v>1699</v>
      </c>
      <c r="H1718">
        <v>194.13616616437122</v>
      </c>
      <c r="I1718">
        <f t="shared" si="26"/>
        <v>0</v>
      </c>
    </row>
    <row r="1719" spans="7:9" x14ac:dyDescent="0.15">
      <c r="G1719">
        <v>1700</v>
      </c>
      <c r="H1719">
        <v>-20.398105035628305</v>
      </c>
      <c r="I1719">
        <f t="shared" si="26"/>
        <v>1</v>
      </c>
    </row>
    <row r="1720" spans="7:9" x14ac:dyDescent="0.15">
      <c r="G1720">
        <v>1701</v>
      </c>
      <c r="H1720">
        <v>-175.68240575239423</v>
      </c>
      <c r="I1720">
        <f t="shared" si="26"/>
        <v>1</v>
      </c>
    </row>
    <row r="1721" spans="7:9" x14ac:dyDescent="0.15">
      <c r="G1721">
        <v>1702</v>
      </c>
      <c r="H1721">
        <v>-90.657152174648161</v>
      </c>
      <c r="I1721">
        <f t="shared" si="26"/>
        <v>1</v>
      </c>
    </row>
    <row r="1722" spans="7:9" x14ac:dyDescent="0.15">
      <c r="G1722">
        <v>1703</v>
      </c>
      <c r="H1722">
        <v>-140.42810690184888</v>
      </c>
      <c r="I1722">
        <f t="shared" si="26"/>
        <v>1</v>
      </c>
    </row>
    <row r="1723" spans="7:9" x14ac:dyDescent="0.15">
      <c r="G1723">
        <v>1704</v>
      </c>
      <c r="H1723">
        <v>-169.28909325382301</v>
      </c>
      <c r="I1723">
        <f t="shared" si="26"/>
        <v>1</v>
      </c>
    </row>
    <row r="1724" spans="7:9" x14ac:dyDescent="0.15">
      <c r="G1724">
        <v>1705</v>
      </c>
      <c r="H1724">
        <v>457.85017605819326</v>
      </c>
      <c r="I1724">
        <f t="shared" si="26"/>
        <v>0</v>
      </c>
    </row>
    <row r="1725" spans="7:9" x14ac:dyDescent="0.15">
      <c r="G1725">
        <v>1706</v>
      </c>
      <c r="H1725">
        <v>199.76760879914417</v>
      </c>
      <c r="I1725">
        <f t="shared" si="26"/>
        <v>0</v>
      </c>
    </row>
    <row r="1726" spans="7:9" x14ac:dyDescent="0.15">
      <c r="G1726">
        <v>1707</v>
      </c>
      <c r="H1726">
        <v>-128.00178806816206</v>
      </c>
      <c r="I1726">
        <f t="shared" si="26"/>
        <v>1</v>
      </c>
    </row>
    <row r="1727" spans="7:9" x14ac:dyDescent="0.15">
      <c r="G1727">
        <v>1708</v>
      </c>
      <c r="H1727">
        <v>-96.928749497929601</v>
      </c>
      <c r="I1727">
        <f t="shared" si="26"/>
        <v>1</v>
      </c>
    </row>
    <row r="1728" spans="7:9" x14ac:dyDescent="0.15">
      <c r="G1728">
        <v>1709</v>
      </c>
      <c r="H1728">
        <v>205.32124519781195</v>
      </c>
      <c r="I1728">
        <f t="shared" si="26"/>
        <v>0</v>
      </c>
    </row>
    <row r="1729" spans="7:9" x14ac:dyDescent="0.15">
      <c r="G1729">
        <v>1710</v>
      </c>
      <c r="H1729">
        <v>-542.59700555135112</v>
      </c>
      <c r="I1729">
        <f t="shared" si="26"/>
        <v>1</v>
      </c>
    </row>
    <row r="1730" spans="7:9" x14ac:dyDescent="0.15">
      <c r="G1730">
        <v>1711</v>
      </c>
      <c r="H1730">
        <v>269.92284242934056</v>
      </c>
      <c r="I1730">
        <f t="shared" si="26"/>
        <v>0</v>
      </c>
    </row>
    <row r="1731" spans="7:9" x14ac:dyDescent="0.15">
      <c r="G1731">
        <v>1712</v>
      </c>
      <c r="H1731">
        <v>-159.50219512799902</v>
      </c>
      <c r="I1731">
        <f t="shared" si="26"/>
        <v>1</v>
      </c>
    </row>
    <row r="1732" spans="7:9" x14ac:dyDescent="0.15">
      <c r="G1732">
        <v>1713</v>
      </c>
      <c r="H1732">
        <v>197.15923662781924</v>
      </c>
      <c r="I1732">
        <f t="shared" si="26"/>
        <v>0</v>
      </c>
    </row>
    <row r="1733" spans="7:9" x14ac:dyDescent="0.15">
      <c r="G1733">
        <v>1714</v>
      </c>
      <c r="H1733">
        <v>108.85141864754607</v>
      </c>
      <c r="I1733">
        <f t="shared" si="26"/>
        <v>0</v>
      </c>
    </row>
    <row r="1734" spans="7:9" x14ac:dyDescent="0.15">
      <c r="G1734">
        <v>1715</v>
      </c>
      <c r="H1734">
        <v>39.373482077692174</v>
      </c>
      <c r="I1734">
        <f t="shared" si="26"/>
        <v>0</v>
      </c>
    </row>
    <row r="1735" spans="7:9" x14ac:dyDescent="0.15">
      <c r="G1735">
        <v>1716</v>
      </c>
      <c r="H1735">
        <v>137.24175938764921</v>
      </c>
      <c r="I1735">
        <f t="shared" si="26"/>
        <v>0</v>
      </c>
    </row>
    <row r="1736" spans="7:9" x14ac:dyDescent="0.15">
      <c r="G1736">
        <v>1717</v>
      </c>
      <c r="H1736">
        <v>307.42471723070798</v>
      </c>
      <c r="I1736">
        <f t="shared" si="26"/>
        <v>0</v>
      </c>
    </row>
    <row r="1737" spans="7:9" x14ac:dyDescent="0.15">
      <c r="G1737">
        <v>1718</v>
      </c>
      <c r="H1737">
        <v>430.30320615922869</v>
      </c>
      <c r="I1737">
        <f t="shared" si="26"/>
        <v>0</v>
      </c>
    </row>
    <row r="1738" spans="7:9" x14ac:dyDescent="0.15">
      <c r="G1738">
        <v>1719</v>
      </c>
      <c r="H1738">
        <v>-62.187314720331059</v>
      </c>
      <c r="I1738">
        <f t="shared" si="26"/>
        <v>1</v>
      </c>
    </row>
    <row r="1739" spans="7:9" x14ac:dyDescent="0.15">
      <c r="G1739">
        <v>1720</v>
      </c>
      <c r="H1739">
        <v>-44.527234955458937</v>
      </c>
      <c r="I1739">
        <f t="shared" si="26"/>
        <v>1</v>
      </c>
    </row>
    <row r="1740" spans="7:9" x14ac:dyDescent="0.15">
      <c r="G1740">
        <v>1721</v>
      </c>
      <c r="H1740">
        <v>500.32512846133312</v>
      </c>
      <c r="I1740">
        <f t="shared" si="26"/>
        <v>0</v>
      </c>
    </row>
    <row r="1741" spans="7:9" x14ac:dyDescent="0.15">
      <c r="G1741">
        <v>1722</v>
      </c>
      <c r="H1741">
        <v>-7.7474850828800754</v>
      </c>
      <c r="I1741">
        <f t="shared" si="26"/>
        <v>1</v>
      </c>
    </row>
    <row r="1742" spans="7:9" x14ac:dyDescent="0.15">
      <c r="G1742">
        <v>1723</v>
      </c>
      <c r="H1742">
        <v>-107.72193522061389</v>
      </c>
      <c r="I1742">
        <f t="shared" si="26"/>
        <v>1</v>
      </c>
    </row>
    <row r="1743" spans="7:9" x14ac:dyDescent="0.15">
      <c r="G1743">
        <v>1724</v>
      </c>
      <c r="H1743">
        <v>-221.17716462588976</v>
      </c>
      <c r="I1743">
        <f t="shared" si="26"/>
        <v>1</v>
      </c>
    </row>
    <row r="1744" spans="7:9" x14ac:dyDescent="0.15">
      <c r="G1744">
        <v>1725</v>
      </c>
      <c r="H1744">
        <v>35.637542163007922</v>
      </c>
      <c r="I1744">
        <f t="shared" si="26"/>
        <v>0</v>
      </c>
    </row>
    <row r="1745" spans="7:9" x14ac:dyDescent="0.15">
      <c r="G1745">
        <v>1726</v>
      </c>
      <c r="H1745">
        <v>-128.63223474271271</v>
      </c>
      <c r="I1745">
        <f t="shared" si="26"/>
        <v>1</v>
      </c>
    </row>
    <row r="1746" spans="7:9" x14ac:dyDescent="0.15">
      <c r="G1746">
        <v>1727</v>
      </c>
      <c r="H1746">
        <v>-64.734429023981733</v>
      </c>
      <c r="I1746">
        <f t="shared" si="26"/>
        <v>1</v>
      </c>
    </row>
    <row r="1747" spans="7:9" x14ac:dyDescent="0.15">
      <c r="G1747">
        <v>1728</v>
      </c>
      <c r="H1747">
        <v>225.9646792267792</v>
      </c>
      <c r="I1747">
        <f t="shared" si="26"/>
        <v>0</v>
      </c>
    </row>
    <row r="1748" spans="7:9" x14ac:dyDescent="0.15">
      <c r="G1748">
        <v>1729</v>
      </c>
      <c r="H1748">
        <v>375.80985411203784</v>
      </c>
      <c r="I1748">
        <f t="shared" si="26"/>
        <v>0</v>
      </c>
    </row>
    <row r="1749" spans="7:9" x14ac:dyDescent="0.15">
      <c r="G1749">
        <v>1730</v>
      </c>
      <c r="H1749">
        <v>728.44508634505314</v>
      </c>
      <c r="I1749">
        <f t="shared" ref="I1749:I1812" si="27">IF(H1749&lt;0,1,0)</f>
        <v>0</v>
      </c>
    </row>
    <row r="1750" spans="7:9" x14ac:dyDescent="0.15">
      <c r="G1750">
        <v>1731</v>
      </c>
      <c r="H1750">
        <v>2.9434555489332013</v>
      </c>
      <c r="I1750">
        <f t="shared" si="27"/>
        <v>0</v>
      </c>
    </row>
    <row r="1751" spans="7:9" x14ac:dyDescent="0.15">
      <c r="G1751">
        <v>1732</v>
      </c>
      <c r="H1751">
        <v>146.37865759875183</v>
      </c>
      <c r="I1751">
        <f t="shared" si="27"/>
        <v>0</v>
      </c>
    </row>
    <row r="1752" spans="7:9" x14ac:dyDescent="0.15">
      <c r="G1752">
        <v>1733</v>
      </c>
      <c r="H1752">
        <v>309.14887335507899</v>
      </c>
      <c r="I1752">
        <f t="shared" si="27"/>
        <v>0</v>
      </c>
    </row>
    <row r="1753" spans="7:9" x14ac:dyDescent="0.15">
      <c r="G1753">
        <v>1734</v>
      </c>
      <c r="H1753">
        <v>698.77579409799159</v>
      </c>
      <c r="I1753">
        <f t="shared" si="27"/>
        <v>0</v>
      </c>
    </row>
    <row r="1754" spans="7:9" x14ac:dyDescent="0.15">
      <c r="G1754">
        <v>1735</v>
      </c>
      <c r="H1754">
        <v>-198.4643639410213</v>
      </c>
      <c r="I1754">
        <f t="shared" si="27"/>
        <v>1</v>
      </c>
    </row>
    <row r="1755" spans="7:9" x14ac:dyDescent="0.15">
      <c r="G1755">
        <v>1736</v>
      </c>
      <c r="H1755">
        <v>-164.06956705418358</v>
      </c>
      <c r="I1755">
        <f t="shared" si="27"/>
        <v>1</v>
      </c>
    </row>
    <row r="1756" spans="7:9" x14ac:dyDescent="0.15">
      <c r="G1756">
        <v>1737</v>
      </c>
      <c r="H1756">
        <v>-26.731814315440808</v>
      </c>
      <c r="I1756">
        <f t="shared" si="27"/>
        <v>1</v>
      </c>
    </row>
    <row r="1757" spans="7:9" x14ac:dyDescent="0.15">
      <c r="G1757">
        <v>1738</v>
      </c>
      <c r="H1757">
        <v>35.133129610983957</v>
      </c>
      <c r="I1757">
        <f t="shared" si="27"/>
        <v>0</v>
      </c>
    </row>
    <row r="1758" spans="7:9" x14ac:dyDescent="0.15">
      <c r="G1758">
        <v>1739</v>
      </c>
      <c r="H1758">
        <v>30.718176138633808</v>
      </c>
      <c r="I1758">
        <f t="shared" si="27"/>
        <v>0</v>
      </c>
    </row>
    <row r="1759" spans="7:9" x14ac:dyDescent="0.15">
      <c r="G1759">
        <v>1740</v>
      </c>
      <c r="H1759">
        <v>265.75165514657022</v>
      </c>
      <c r="I1759">
        <f t="shared" si="27"/>
        <v>0</v>
      </c>
    </row>
    <row r="1760" spans="7:9" x14ac:dyDescent="0.15">
      <c r="G1760">
        <v>1741</v>
      </c>
      <c r="H1760">
        <v>-2.5943139073867343</v>
      </c>
      <c r="I1760">
        <f t="shared" si="27"/>
        <v>1</v>
      </c>
    </row>
    <row r="1761" spans="7:9" x14ac:dyDescent="0.15">
      <c r="G1761">
        <v>1742</v>
      </c>
      <c r="H1761">
        <v>87.279079326190953</v>
      </c>
      <c r="I1761">
        <f t="shared" si="27"/>
        <v>0</v>
      </c>
    </row>
    <row r="1762" spans="7:9" x14ac:dyDescent="0.15">
      <c r="G1762">
        <v>1743</v>
      </c>
      <c r="H1762">
        <v>-151.42593952238747</v>
      </c>
      <c r="I1762">
        <f t="shared" si="27"/>
        <v>1</v>
      </c>
    </row>
    <row r="1763" spans="7:9" x14ac:dyDescent="0.15">
      <c r="G1763">
        <v>1744</v>
      </c>
      <c r="H1763">
        <v>-54.381859779000777</v>
      </c>
      <c r="I1763">
        <f t="shared" si="27"/>
        <v>1</v>
      </c>
    </row>
    <row r="1764" spans="7:9" x14ac:dyDescent="0.15">
      <c r="G1764">
        <v>1745</v>
      </c>
      <c r="H1764">
        <v>221.66804045017753</v>
      </c>
      <c r="I1764">
        <f t="shared" si="27"/>
        <v>0</v>
      </c>
    </row>
    <row r="1765" spans="7:9" x14ac:dyDescent="0.15">
      <c r="G1765">
        <v>1746</v>
      </c>
      <c r="H1765">
        <v>244.02632609466181</v>
      </c>
      <c r="I1765">
        <f t="shared" si="27"/>
        <v>0</v>
      </c>
    </row>
    <row r="1766" spans="7:9" x14ac:dyDescent="0.15">
      <c r="G1766">
        <v>1747</v>
      </c>
      <c r="H1766">
        <v>-250.96941027156561</v>
      </c>
      <c r="I1766">
        <f t="shared" si="27"/>
        <v>1</v>
      </c>
    </row>
    <row r="1767" spans="7:9" x14ac:dyDescent="0.15">
      <c r="G1767">
        <v>1748</v>
      </c>
      <c r="H1767">
        <v>-112.83420734093971</v>
      </c>
      <c r="I1767">
        <f t="shared" si="27"/>
        <v>1</v>
      </c>
    </row>
    <row r="1768" spans="7:9" x14ac:dyDescent="0.15">
      <c r="G1768">
        <v>1749</v>
      </c>
      <c r="H1768">
        <v>174.60188278388841</v>
      </c>
      <c r="I1768">
        <f t="shared" si="27"/>
        <v>0</v>
      </c>
    </row>
    <row r="1769" spans="7:9" x14ac:dyDescent="0.15">
      <c r="G1769">
        <v>1750</v>
      </c>
      <c r="H1769">
        <v>273.98905123217941</v>
      </c>
      <c r="I1769">
        <f t="shared" si="27"/>
        <v>0</v>
      </c>
    </row>
    <row r="1770" spans="7:9" x14ac:dyDescent="0.15">
      <c r="G1770">
        <v>1751</v>
      </c>
      <c r="H1770">
        <v>309.72852413365626</v>
      </c>
      <c r="I1770">
        <f t="shared" si="27"/>
        <v>0</v>
      </c>
    </row>
    <row r="1771" spans="7:9" x14ac:dyDescent="0.15">
      <c r="G1771">
        <v>1752</v>
      </c>
      <c r="H1771">
        <v>45.569829231331845</v>
      </c>
      <c r="I1771">
        <f t="shared" si="27"/>
        <v>0</v>
      </c>
    </row>
    <row r="1772" spans="7:9" x14ac:dyDescent="0.15">
      <c r="G1772">
        <v>1753</v>
      </c>
      <c r="H1772">
        <v>476.73154568629411</v>
      </c>
      <c r="I1772">
        <f t="shared" si="27"/>
        <v>0</v>
      </c>
    </row>
    <row r="1773" spans="7:9" x14ac:dyDescent="0.15">
      <c r="G1773">
        <v>1754</v>
      </c>
      <c r="H1773">
        <v>100.73038302668579</v>
      </c>
      <c r="I1773">
        <f t="shared" si="27"/>
        <v>0</v>
      </c>
    </row>
    <row r="1774" spans="7:9" x14ac:dyDescent="0.15">
      <c r="G1774">
        <v>1755</v>
      </c>
      <c r="H1774">
        <v>332.46471804672672</v>
      </c>
      <c r="I1774">
        <f t="shared" si="27"/>
        <v>0</v>
      </c>
    </row>
    <row r="1775" spans="7:9" x14ac:dyDescent="0.15">
      <c r="G1775">
        <v>1756</v>
      </c>
      <c r="H1775">
        <v>-168.78105044321541</v>
      </c>
      <c r="I1775">
        <f t="shared" si="27"/>
        <v>1</v>
      </c>
    </row>
    <row r="1776" spans="7:9" x14ac:dyDescent="0.15">
      <c r="G1776">
        <v>1757</v>
      </c>
      <c r="H1776">
        <v>-56.160097939504418</v>
      </c>
      <c r="I1776">
        <f t="shared" si="27"/>
        <v>1</v>
      </c>
    </row>
    <row r="1777" spans="7:9" x14ac:dyDescent="0.15">
      <c r="G1777">
        <v>1758</v>
      </c>
      <c r="H1777">
        <v>-267.24309686364586</v>
      </c>
      <c r="I1777">
        <f t="shared" si="27"/>
        <v>1</v>
      </c>
    </row>
    <row r="1778" spans="7:9" x14ac:dyDescent="0.15">
      <c r="G1778">
        <v>1759</v>
      </c>
      <c r="H1778">
        <v>139.91756647777916</v>
      </c>
      <c r="I1778">
        <f t="shared" si="27"/>
        <v>0</v>
      </c>
    </row>
    <row r="1779" spans="7:9" x14ac:dyDescent="0.15">
      <c r="G1779">
        <v>1760</v>
      </c>
      <c r="H1779">
        <v>-189.832046019106</v>
      </c>
      <c r="I1779">
        <f t="shared" si="27"/>
        <v>1</v>
      </c>
    </row>
    <row r="1780" spans="7:9" x14ac:dyDescent="0.15">
      <c r="G1780">
        <v>1761</v>
      </c>
      <c r="H1780">
        <v>25.862636915675765</v>
      </c>
      <c r="I1780">
        <f t="shared" si="27"/>
        <v>0</v>
      </c>
    </row>
    <row r="1781" spans="7:9" x14ac:dyDescent="0.15">
      <c r="G1781">
        <v>1762</v>
      </c>
      <c r="H1781">
        <v>403.75034457385561</v>
      </c>
      <c r="I1781">
        <f t="shared" si="27"/>
        <v>0</v>
      </c>
    </row>
    <row r="1782" spans="7:9" x14ac:dyDescent="0.15">
      <c r="G1782">
        <v>1763</v>
      </c>
      <c r="H1782">
        <v>226.90753798974282</v>
      </c>
      <c r="I1782">
        <f t="shared" si="27"/>
        <v>0</v>
      </c>
    </row>
    <row r="1783" spans="7:9" x14ac:dyDescent="0.15">
      <c r="G1783">
        <v>1764</v>
      </c>
      <c r="H1783">
        <v>-239.36688907432745</v>
      </c>
      <c r="I1783">
        <f t="shared" si="27"/>
        <v>1</v>
      </c>
    </row>
    <row r="1784" spans="7:9" x14ac:dyDescent="0.15">
      <c r="G1784">
        <v>1765</v>
      </c>
      <c r="H1784">
        <v>-241.01666055815579</v>
      </c>
      <c r="I1784">
        <f t="shared" si="27"/>
        <v>1</v>
      </c>
    </row>
    <row r="1785" spans="7:9" x14ac:dyDescent="0.15">
      <c r="G1785">
        <v>1766</v>
      </c>
      <c r="H1785">
        <v>214.73047892972335</v>
      </c>
      <c r="I1785">
        <f t="shared" si="27"/>
        <v>0</v>
      </c>
    </row>
    <row r="1786" spans="7:9" x14ac:dyDescent="0.15">
      <c r="G1786">
        <v>1767</v>
      </c>
      <c r="H1786">
        <v>-285.28487073721453</v>
      </c>
      <c r="I1786">
        <f t="shared" si="27"/>
        <v>1</v>
      </c>
    </row>
    <row r="1787" spans="7:9" x14ac:dyDescent="0.15">
      <c r="G1787">
        <v>1768</v>
      </c>
      <c r="H1787">
        <v>213.94726171248945</v>
      </c>
      <c r="I1787">
        <f t="shared" si="27"/>
        <v>0</v>
      </c>
    </row>
    <row r="1788" spans="7:9" x14ac:dyDescent="0.15">
      <c r="G1788">
        <v>1769</v>
      </c>
      <c r="H1788">
        <v>412.18799798273767</v>
      </c>
      <c r="I1788">
        <f t="shared" si="27"/>
        <v>0</v>
      </c>
    </row>
    <row r="1789" spans="7:9" x14ac:dyDescent="0.15">
      <c r="G1789">
        <v>1770</v>
      </c>
      <c r="H1789">
        <v>-344.33838424822454</v>
      </c>
      <c r="I1789">
        <f t="shared" si="27"/>
        <v>1</v>
      </c>
    </row>
    <row r="1790" spans="7:9" x14ac:dyDescent="0.15">
      <c r="G1790">
        <v>1771</v>
      </c>
      <c r="H1790">
        <v>90.043104894186939</v>
      </c>
      <c r="I1790">
        <f t="shared" si="27"/>
        <v>0</v>
      </c>
    </row>
    <row r="1791" spans="7:9" x14ac:dyDescent="0.15">
      <c r="G1791">
        <v>1772</v>
      </c>
      <c r="H1791">
        <v>173.05038929973131</v>
      </c>
      <c r="I1791">
        <f t="shared" si="27"/>
        <v>0</v>
      </c>
    </row>
    <row r="1792" spans="7:9" x14ac:dyDescent="0.15">
      <c r="G1792">
        <v>1773</v>
      </c>
      <c r="H1792">
        <v>2.2903762792868037</v>
      </c>
      <c r="I1792">
        <f t="shared" si="27"/>
        <v>0</v>
      </c>
    </row>
    <row r="1793" spans="7:9" x14ac:dyDescent="0.15">
      <c r="G1793">
        <v>1774</v>
      </c>
      <c r="H1793">
        <v>-157.38839494505044</v>
      </c>
      <c r="I1793">
        <f t="shared" si="27"/>
        <v>1</v>
      </c>
    </row>
    <row r="1794" spans="7:9" x14ac:dyDescent="0.15">
      <c r="G1794">
        <v>1775</v>
      </c>
      <c r="H1794">
        <v>459.81743185846096</v>
      </c>
      <c r="I1794">
        <f t="shared" si="27"/>
        <v>0</v>
      </c>
    </row>
    <row r="1795" spans="7:9" x14ac:dyDescent="0.15">
      <c r="G1795">
        <v>1776</v>
      </c>
      <c r="H1795">
        <v>405.49398340468764</v>
      </c>
      <c r="I1795">
        <f t="shared" si="27"/>
        <v>0</v>
      </c>
    </row>
    <row r="1796" spans="7:9" x14ac:dyDescent="0.15">
      <c r="G1796">
        <v>1777</v>
      </c>
      <c r="H1796">
        <v>299.95228930590565</v>
      </c>
      <c r="I1796">
        <f t="shared" si="27"/>
        <v>0</v>
      </c>
    </row>
    <row r="1797" spans="7:9" x14ac:dyDescent="0.15">
      <c r="G1797">
        <v>1778</v>
      </c>
      <c r="H1797">
        <v>25.542619943256625</v>
      </c>
      <c r="I1797">
        <f t="shared" si="27"/>
        <v>0</v>
      </c>
    </row>
    <row r="1798" spans="7:9" x14ac:dyDescent="0.15">
      <c r="G1798">
        <v>1779</v>
      </c>
      <c r="H1798">
        <v>304.64457358312603</v>
      </c>
      <c r="I1798">
        <f t="shared" si="27"/>
        <v>0</v>
      </c>
    </row>
    <row r="1799" spans="7:9" x14ac:dyDescent="0.15">
      <c r="G1799">
        <v>1780</v>
      </c>
      <c r="H1799">
        <v>86.642104382916145</v>
      </c>
      <c r="I1799">
        <f t="shared" si="27"/>
        <v>0</v>
      </c>
    </row>
    <row r="1800" spans="7:9" x14ac:dyDescent="0.15">
      <c r="G1800">
        <v>1781</v>
      </c>
      <c r="H1800">
        <v>832.3761907468097</v>
      </c>
      <c r="I1800">
        <f t="shared" si="27"/>
        <v>0</v>
      </c>
    </row>
    <row r="1801" spans="7:9" x14ac:dyDescent="0.15">
      <c r="G1801">
        <v>1782</v>
      </c>
      <c r="H1801">
        <v>282.007781132307</v>
      </c>
      <c r="I1801">
        <f t="shared" si="27"/>
        <v>0</v>
      </c>
    </row>
    <row r="1802" spans="7:9" x14ac:dyDescent="0.15">
      <c r="G1802">
        <v>1783</v>
      </c>
      <c r="H1802">
        <v>149.56142359835911</v>
      </c>
      <c r="I1802">
        <f t="shared" si="27"/>
        <v>0</v>
      </c>
    </row>
    <row r="1803" spans="7:9" x14ac:dyDescent="0.15">
      <c r="G1803">
        <v>1784</v>
      </c>
      <c r="H1803">
        <v>-140.70352816600865</v>
      </c>
      <c r="I1803">
        <f t="shared" si="27"/>
        <v>1</v>
      </c>
    </row>
    <row r="1804" spans="7:9" x14ac:dyDescent="0.15">
      <c r="G1804">
        <v>1785</v>
      </c>
      <c r="H1804">
        <v>36.494531286061616</v>
      </c>
      <c r="I1804">
        <f t="shared" si="27"/>
        <v>0</v>
      </c>
    </row>
    <row r="1805" spans="7:9" x14ac:dyDescent="0.15">
      <c r="G1805">
        <v>1786</v>
      </c>
      <c r="H1805">
        <v>107.14924830034025</v>
      </c>
      <c r="I1805">
        <f t="shared" si="27"/>
        <v>0</v>
      </c>
    </row>
    <row r="1806" spans="7:9" x14ac:dyDescent="0.15">
      <c r="G1806">
        <v>1787</v>
      </c>
      <c r="H1806">
        <v>381.34119945203474</v>
      </c>
      <c r="I1806">
        <f t="shared" si="27"/>
        <v>0</v>
      </c>
    </row>
    <row r="1807" spans="7:9" x14ac:dyDescent="0.15">
      <c r="G1807">
        <v>1788</v>
      </c>
      <c r="H1807">
        <v>89.214111681004482</v>
      </c>
      <c r="I1807">
        <f t="shared" si="27"/>
        <v>0</v>
      </c>
    </row>
    <row r="1808" spans="7:9" x14ac:dyDescent="0.15">
      <c r="G1808">
        <v>1789</v>
      </c>
      <c r="H1808">
        <v>-83.997929210569097</v>
      </c>
      <c r="I1808">
        <f t="shared" si="27"/>
        <v>1</v>
      </c>
    </row>
    <row r="1809" spans="7:9" x14ac:dyDescent="0.15">
      <c r="G1809">
        <v>1790</v>
      </c>
      <c r="H1809">
        <v>34.840432597313153</v>
      </c>
      <c r="I1809">
        <f t="shared" si="27"/>
        <v>0</v>
      </c>
    </row>
    <row r="1810" spans="7:9" x14ac:dyDescent="0.15">
      <c r="G1810">
        <v>1791</v>
      </c>
      <c r="H1810">
        <v>-28.615831569392903</v>
      </c>
      <c r="I1810">
        <f t="shared" si="27"/>
        <v>1</v>
      </c>
    </row>
    <row r="1811" spans="7:9" x14ac:dyDescent="0.15">
      <c r="G1811">
        <v>1792</v>
      </c>
      <c r="H1811">
        <v>-89.776098333516515</v>
      </c>
      <c r="I1811">
        <f t="shared" si="27"/>
        <v>1</v>
      </c>
    </row>
    <row r="1812" spans="7:9" x14ac:dyDescent="0.15">
      <c r="G1812">
        <v>1793</v>
      </c>
      <c r="H1812">
        <v>-97.425626687167522</v>
      </c>
      <c r="I1812">
        <f t="shared" si="27"/>
        <v>1</v>
      </c>
    </row>
    <row r="1813" spans="7:9" x14ac:dyDescent="0.15">
      <c r="G1813">
        <v>1794</v>
      </c>
      <c r="H1813">
        <v>-164.59658239301541</v>
      </c>
      <c r="I1813">
        <f t="shared" ref="I1813:I1876" si="28">IF(H1813&lt;0,1,0)</f>
        <v>1</v>
      </c>
    </row>
    <row r="1814" spans="7:9" x14ac:dyDescent="0.15">
      <c r="G1814">
        <v>1795</v>
      </c>
      <c r="H1814">
        <v>-40.26558118363964</v>
      </c>
      <c r="I1814">
        <f t="shared" si="28"/>
        <v>1</v>
      </c>
    </row>
    <row r="1815" spans="7:9" x14ac:dyDescent="0.15">
      <c r="G1815">
        <v>1796</v>
      </c>
      <c r="H1815">
        <v>263.04228955629401</v>
      </c>
      <c r="I1815">
        <f t="shared" si="28"/>
        <v>0</v>
      </c>
    </row>
    <row r="1816" spans="7:9" x14ac:dyDescent="0.15">
      <c r="G1816">
        <v>1797</v>
      </c>
      <c r="H1816">
        <v>-158.84956934751361</v>
      </c>
      <c r="I1816">
        <f t="shared" si="28"/>
        <v>1</v>
      </c>
    </row>
    <row r="1817" spans="7:9" x14ac:dyDescent="0.15">
      <c r="G1817">
        <v>1798</v>
      </c>
      <c r="H1817">
        <v>649.8733337059291</v>
      </c>
      <c r="I1817">
        <f t="shared" si="28"/>
        <v>0</v>
      </c>
    </row>
    <row r="1818" spans="7:9" x14ac:dyDescent="0.15">
      <c r="G1818">
        <v>1799</v>
      </c>
      <c r="H1818">
        <v>237.64804786911981</v>
      </c>
      <c r="I1818">
        <f t="shared" si="28"/>
        <v>0</v>
      </c>
    </row>
    <row r="1819" spans="7:9" x14ac:dyDescent="0.15">
      <c r="G1819">
        <v>1800</v>
      </c>
      <c r="H1819">
        <v>-187.02266825445531</v>
      </c>
      <c r="I1819">
        <f t="shared" si="28"/>
        <v>1</v>
      </c>
    </row>
    <row r="1820" spans="7:9" x14ac:dyDescent="0.15">
      <c r="G1820">
        <v>1801</v>
      </c>
      <c r="H1820">
        <v>79.962596144037818</v>
      </c>
      <c r="I1820">
        <f t="shared" si="28"/>
        <v>0</v>
      </c>
    </row>
    <row r="1821" spans="7:9" x14ac:dyDescent="0.15">
      <c r="G1821">
        <v>1802</v>
      </c>
      <c r="H1821">
        <v>-41.153057712737635</v>
      </c>
      <c r="I1821">
        <f t="shared" si="28"/>
        <v>1</v>
      </c>
    </row>
    <row r="1822" spans="7:9" x14ac:dyDescent="0.15">
      <c r="G1822">
        <v>1803</v>
      </c>
      <c r="H1822">
        <v>-94.331334398369606</v>
      </c>
      <c r="I1822">
        <f t="shared" si="28"/>
        <v>1</v>
      </c>
    </row>
    <row r="1823" spans="7:9" x14ac:dyDescent="0.15">
      <c r="G1823">
        <v>1804</v>
      </c>
      <c r="H1823">
        <v>235.20261314668923</v>
      </c>
      <c r="I1823">
        <f t="shared" si="28"/>
        <v>0</v>
      </c>
    </row>
    <row r="1824" spans="7:9" x14ac:dyDescent="0.15">
      <c r="G1824">
        <v>1805</v>
      </c>
      <c r="H1824">
        <v>66.301620289744179</v>
      </c>
      <c r="I1824">
        <f t="shared" si="28"/>
        <v>0</v>
      </c>
    </row>
    <row r="1825" spans="7:9" x14ac:dyDescent="0.15">
      <c r="G1825">
        <v>1806</v>
      </c>
      <c r="H1825">
        <v>-178.50690493514387</v>
      </c>
      <c r="I1825">
        <f t="shared" si="28"/>
        <v>1</v>
      </c>
    </row>
    <row r="1826" spans="7:9" x14ac:dyDescent="0.15">
      <c r="G1826">
        <v>1807</v>
      </c>
      <c r="H1826">
        <v>-43.186292212851583</v>
      </c>
      <c r="I1826">
        <f t="shared" si="28"/>
        <v>1</v>
      </c>
    </row>
    <row r="1827" spans="7:9" x14ac:dyDescent="0.15">
      <c r="G1827">
        <v>1808</v>
      </c>
      <c r="H1827">
        <v>36.178670933980236</v>
      </c>
      <c r="I1827">
        <f t="shared" si="28"/>
        <v>0</v>
      </c>
    </row>
    <row r="1828" spans="7:9" x14ac:dyDescent="0.15">
      <c r="G1828">
        <v>1809</v>
      </c>
      <c r="H1828">
        <v>251.25177453356821</v>
      </c>
      <c r="I1828">
        <f t="shared" si="28"/>
        <v>0</v>
      </c>
    </row>
    <row r="1829" spans="7:9" x14ac:dyDescent="0.15">
      <c r="G1829">
        <v>1810</v>
      </c>
      <c r="H1829">
        <v>209.31507687643062</v>
      </c>
      <c r="I1829">
        <f t="shared" si="28"/>
        <v>0</v>
      </c>
    </row>
    <row r="1830" spans="7:9" x14ac:dyDescent="0.15">
      <c r="G1830">
        <v>1811</v>
      </c>
      <c r="H1830">
        <v>-54.314095187993964</v>
      </c>
      <c r="I1830">
        <f t="shared" si="28"/>
        <v>1</v>
      </c>
    </row>
    <row r="1831" spans="7:9" x14ac:dyDescent="0.15">
      <c r="G1831">
        <v>1812</v>
      </c>
      <c r="H1831">
        <v>-72.607603155777085</v>
      </c>
      <c r="I1831">
        <f t="shared" si="28"/>
        <v>1</v>
      </c>
    </row>
    <row r="1832" spans="7:9" x14ac:dyDescent="0.15">
      <c r="G1832">
        <v>1813</v>
      </c>
      <c r="H1832">
        <v>-79.737654437473253</v>
      </c>
      <c r="I1832">
        <f t="shared" si="28"/>
        <v>1</v>
      </c>
    </row>
    <row r="1833" spans="7:9" x14ac:dyDescent="0.15">
      <c r="G1833">
        <v>1814</v>
      </c>
      <c r="H1833">
        <v>154.90813105512703</v>
      </c>
      <c r="I1833">
        <f t="shared" si="28"/>
        <v>0</v>
      </c>
    </row>
    <row r="1834" spans="7:9" x14ac:dyDescent="0.15">
      <c r="G1834">
        <v>1815</v>
      </c>
      <c r="H1834">
        <v>353.36209256866994</v>
      </c>
      <c r="I1834">
        <f t="shared" si="28"/>
        <v>0</v>
      </c>
    </row>
    <row r="1835" spans="7:9" x14ac:dyDescent="0.15">
      <c r="G1835">
        <v>1816</v>
      </c>
      <c r="H1835">
        <v>-112.11634881601773</v>
      </c>
      <c r="I1835">
        <f t="shared" si="28"/>
        <v>1</v>
      </c>
    </row>
    <row r="1836" spans="7:9" x14ac:dyDescent="0.15">
      <c r="G1836">
        <v>1817</v>
      </c>
      <c r="H1836">
        <v>405.9149311302175</v>
      </c>
      <c r="I1836">
        <f t="shared" si="28"/>
        <v>0</v>
      </c>
    </row>
    <row r="1837" spans="7:9" x14ac:dyDescent="0.15">
      <c r="G1837">
        <v>1818</v>
      </c>
      <c r="H1837">
        <v>316.61784991510689</v>
      </c>
      <c r="I1837">
        <f t="shared" si="28"/>
        <v>0</v>
      </c>
    </row>
    <row r="1838" spans="7:9" x14ac:dyDescent="0.15">
      <c r="G1838">
        <v>1819</v>
      </c>
      <c r="H1838">
        <v>37.536950762911772</v>
      </c>
      <c r="I1838">
        <f t="shared" si="28"/>
        <v>0</v>
      </c>
    </row>
    <row r="1839" spans="7:9" x14ac:dyDescent="0.15">
      <c r="G1839">
        <v>1820</v>
      </c>
      <c r="H1839">
        <v>-330.74116491713545</v>
      </c>
      <c r="I1839">
        <f t="shared" si="28"/>
        <v>1</v>
      </c>
    </row>
    <row r="1840" spans="7:9" x14ac:dyDescent="0.15">
      <c r="G1840">
        <v>1821</v>
      </c>
      <c r="H1840">
        <v>193.30309368914715</v>
      </c>
      <c r="I1840">
        <f t="shared" si="28"/>
        <v>0</v>
      </c>
    </row>
    <row r="1841" spans="7:9" x14ac:dyDescent="0.15">
      <c r="G1841">
        <v>1822</v>
      </c>
      <c r="H1841">
        <v>-244.21310593764946</v>
      </c>
      <c r="I1841">
        <f t="shared" si="28"/>
        <v>1</v>
      </c>
    </row>
    <row r="1842" spans="7:9" x14ac:dyDescent="0.15">
      <c r="G1842">
        <v>1823</v>
      </c>
      <c r="H1842">
        <v>-114.53527586156926</v>
      </c>
      <c r="I1842">
        <f t="shared" si="28"/>
        <v>1</v>
      </c>
    </row>
    <row r="1843" spans="7:9" x14ac:dyDescent="0.15">
      <c r="G1843">
        <v>1824</v>
      </c>
      <c r="H1843">
        <v>21.12297583171221</v>
      </c>
      <c r="I1843">
        <f t="shared" si="28"/>
        <v>0</v>
      </c>
    </row>
    <row r="1844" spans="7:9" x14ac:dyDescent="0.15">
      <c r="G1844">
        <v>1825</v>
      </c>
      <c r="H1844">
        <v>-82.441385085784333</v>
      </c>
      <c r="I1844">
        <f t="shared" si="28"/>
        <v>1</v>
      </c>
    </row>
    <row r="1845" spans="7:9" x14ac:dyDescent="0.15">
      <c r="G1845">
        <v>1826</v>
      </c>
      <c r="H1845">
        <v>109.42619007009712</v>
      </c>
      <c r="I1845">
        <f t="shared" si="28"/>
        <v>0</v>
      </c>
    </row>
    <row r="1846" spans="7:9" x14ac:dyDescent="0.15">
      <c r="G1846">
        <v>1827</v>
      </c>
      <c r="H1846">
        <v>134.54861730445754</v>
      </c>
      <c r="I1846">
        <f t="shared" si="28"/>
        <v>0</v>
      </c>
    </row>
    <row r="1847" spans="7:9" x14ac:dyDescent="0.15">
      <c r="G1847">
        <v>1828</v>
      </c>
      <c r="H1847">
        <v>282.82566385326561</v>
      </c>
      <c r="I1847">
        <f t="shared" si="28"/>
        <v>0</v>
      </c>
    </row>
    <row r="1848" spans="7:9" x14ac:dyDescent="0.15">
      <c r="G1848">
        <v>1829</v>
      </c>
      <c r="H1848">
        <v>-140.64026638439975</v>
      </c>
      <c r="I1848">
        <f t="shared" si="28"/>
        <v>1</v>
      </c>
    </row>
    <row r="1849" spans="7:9" x14ac:dyDescent="0.15">
      <c r="G1849">
        <v>1830</v>
      </c>
      <c r="H1849">
        <v>-224.37485807906242</v>
      </c>
      <c r="I1849">
        <f t="shared" si="28"/>
        <v>1</v>
      </c>
    </row>
    <row r="1850" spans="7:9" x14ac:dyDescent="0.15">
      <c r="G1850">
        <v>1831</v>
      </c>
      <c r="H1850">
        <v>-86.17929051841864</v>
      </c>
      <c r="I1850">
        <f t="shared" si="28"/>
        <v>1</v>
      </c>
    </row>
    <row r="1851" spans="7:9" x14ac:dyDescent="0.15">
      <c r="G1851">
        <v>1832</v>
      </c>
      <c r="H1851">
        <v>224.97770438320268</v>
      </c>
      <c r="I1851">
        <f t="shared" si="28"/>
        <v>0</v>
      </c>
    </row>
    <row r="1852" spans="7:9" x14ac:dyDescent="0.15">
      <c r="G1852">
        <v>1833</v>
      </c>
      <c r="H1852">
        <v>-162.2771396041862</v>
      </c>
      <c r="I1852">
        <f t="shared" si="28"/>
        <v>1</v>
      </c>
    </row>
    <row r="1853" spans="7:9" x14ac:dyDescent="0.15">
      <c r="G1853">
        <v>1834</v>
      </c>
      <c r="H1853">
        <v>407.38860546234832</v>
      </c>
      <c r="I1853">
        <f t="shared" si="28"/>
        <v>0</v>
      </c>
    </row>
    <row r="1854" spans="7:9" x14ac:dyDescent="0.15">
      <c r="G1854">
        <v>1835</v>
      </c>
      <c r="H1854">
        <v>83.850873468344531</v>
      </c>
      <c r="I1854">
        <f t="shared" si="28"/>
        <v>0</v>
      </c>
    </row>
    <row r="1855" spans="7:9" x14ac:dyDescent="0.15">
      <c r="G1855">
        <v>1836</v>
      </c>
      <c r="H1855">
        <v>-102.62937433925691</v>
      </c>
      <c r="I1855">
        <f t="shared" si="28"/>
        <v>1</v>
      </c>
    </row>
    <row r="1856" spans="7:9" x14ac:dyDescent="0.15">
      <c r="G1856">
        <v>1837</v>
      </c>
      <c r="H1856">
        <v>-292.88451047534784</v>
      </c>
      <c r="I1856">
        <f t="shared" si="28"/>
        <v>1</v>
      </c>
    </row>
    <row r="1857" spans="7:9" x14ac:dyDescent="0.15">
      <c r="G1857">
        <v>1838</v>
      </c>
      <c r="H1857">
        <v>528.91203867629213</v>
      </c>
      <c r="I1857">
        <f t="shared" si="28"/>
        <v>0</v>
      </c>
    </row>
    <row r="1858" spans="7:9" x14ac:dyDescent="0.15">
      <c r="G1858">
        <v>1839</v>
      </c>
      <c r="H1858">
        <v>247.05202684592285</v>
      </c>
      <c r="I1858">
        <f t="shared" si="28"/>
        <v>0</v>
      </c>
    </row>
    <row r="1859" spans="7:9" x14ac:dyDescent="0.15">
      <c r="G1859">
        <v>1840</v>
      </c>
      <c r="H1859">
        <v>-233.52780351869123</v>
      </c>
      <c r="I1859">
        <f t="shared" si="28"/>
        <v>1</v>
      </c>
    </row>
    <row r="1860" spans="7:9" x14ac:dyDescent="0.15">
      <c r="G1860">
        <v>1841</v>
      </c>
      <c r="H1860">
        <v>88.517734716441353</v>
      </c>
      <c r="I1860">
        <f t="shared" si="28"/>
        <v>0</v>
      </c>
    </row>
    <row r="1861" spans="7:9" x14ac:dyDescent="0.15">
      <c r="G1861">
        <v>1842</v>
      </c>
      <c r="H1861">
        <v>241.39498101861886</v>
      </c>
      <c r="I1861">
        <f t="shared" si="28"/>
        <v>0</v>
      </c>
    </row>
    <row r="1862" spans="7:9" x14ac:dyDescent="0.15">
      <c r="G1862">
        <v>1843</v>
      </c>
      <c r="H1862">
        <v>-58.522648928093815</v>
      </c>
      <c r="I1862">
        <f t="shared" si="28"/>
        <v>1</v>
      </c>
    </row>
    <row r="1863" spans="7:9" x14ac:dyDescent="0.15">
      <c r="G1863">
        <v>1844</v>
      </c>
      <c r="H1863">
        <v>4.4768042770554146</v>
      </c>
      <c r="I1863">
        <f t="shared" si="28"/>
        <v>0</v>
      </c>
    </row>
    <row r="1864" spans="7:9" x14ac:dyDescent="0.15">
      <c r="G1864">
        <v>1845</v>
      </c>
      <c r="H1864">
        <v>25.361549151148807</v>
      </c>
      <c r="I1864">
        <f t="shared" si="28"/>
        <v>0</v>
      </c>
    </row>
    <row r="1865" spans="7:9" x14ac:dyDescent="0.15">
      <c r="G1865">
        <v>1846</v>
      </c>
      <c r="H1865">
        <v>-92.034034073032814</v>
      </c>
      <c r="I1865">
        <f t="shared" si="28"/>
        <v>1</v>
      </c>
    </row>
    <row r="1866" spans="7:9" x14ac:dyDescent="0.15">
      <c r="G1866">
        <v>1847</v>
      </c>
      <c r="H1866">
        <v>478.2712465525816</v>
      </c>
      <c r="I1866">
        <f t="shared" si="28"/>
        <v>0</v>
      </c>
    </row>
    <row r="1867" spans="7:9" x14ac:dyDescent="0.15">
      <c r="G1867">
        <v>1848</v>
      </c>
      <c r="H1867">
        <v>-203.00472946784726</v>
      </c>
      <c r="I1867">
        <f t="shared" si="28"/>
        <v>1</v>
      </c>
    </row>
    <row r="1868" spans="7:9" x14ac:dyDescent="0.15">
      <c r="G1868">
        <v>1849</v>
      </c>
      <c r="H1868">
        <v>-241.67970901978336</v>
      </c>
      <c r="I1868">
        <f t="shared" si="28"/>
        <v>1</v>
      </c>
    </row>
    <row r="1869" spans="7:9" x14ac:dyDescent="0.15">
      <c r="G1869">
        <v>1850</v>
      </c>
      <c r="H1869">
        <v>-432.96856584206148</v>
      </c>
      <c r="I1869">
        <f t="shared" si="28"/>
        <v>1</v>
      </c>
    </row>
    <row r="1870" spans="7:9" x14ac:dyDescent="0.15">
      <c r="G1870">
        <v>1851</v>
      </c>
      <c r="H1870">
        <v>488.85469693256198</v>
      </c>
      <c r="I1870">
        <f t="shared" si="28"/>
        <v>0</v>
      </c>
    </row>
    <row r="1871" spans="7:9" x14ac:dyDescent="0.15">
      <c r="G1871">
        <v>1852</v>
      </c>
      <c r="H1871">
        <v>-158.7003371100032</v>
      </c>
      <c r="I1871">
        <f t="shared" si="28"/>
        <v>1</v>
      </c>
    </row>
    <row r="1872" spans="7:9" x14ac:dyDescent="0.15">
      <c r="G1872">
        <v>1853</v>
      </c>
      <c r="H1872">
        <v>-23.113478029254892</v>
      </c>
      <c r="I1872">
        <f t="shared" si="28"/>
        <v>1</v>
      </c>
    </row>
    <row r="1873" spans="7:9" x14ac:dyDescent="0.15">
      <c r="G1873">
        <v>1854</v>
      </c>
      <c r="H1873">
        <v>94.58719420623801</v>
      </c>
      <c r="I1873">
        <f t="shared" si="28"/>
        <v>0</v>
      </c>
    </row>
    <row r="1874" spans="7:9" x14ac:dyDescent="0.15">
      <c r="G1874">
        <v>1855</v>
      </c>
      <c r="H1874">
        <v>101.72860503807583</v>
      </c>
      <c r="I1874">
        <f t="shared" si="28"/>
        <v>0</v>
      </c>
    </row>
    <row r="1875" spans="7:9" x14ac:dyDescent="0.15">
      <c r="G1875">
        <v>1856</v>
      </c>
      <c r="H1875">
        <v>-86.427033613754276</v>
      </c>
      <c r="I1875">
        <f t="shared" si="28"/>
        <v>1</v>
      </c>
    </row>
    <row r="1876" spans="7:9" x14ac:dyDescent="0.15">
      <c r="G1876">
        <v>1857</v>
      </c>
      <c r="H1876">
        <v>-2.0852797364306781</v>
      </c>
      <c r="I1876">
        <f t="shared" si="28"/>
        <v>1</v>
      </c>
    </row>
    <row r="1877" spans="7:9" x14ac:dyDescent="0.15">
      <c r="G1877">
        <v>1858</v>
      </c>
      <c r="H1877">
        <v>335.2939259488823</v>
      </c>
      <c r="I1877">
        <f t="shared" ref="I1877:I1930" si="29">IF(H1877&lt;0,1,0)</f>
        <v>0</v>
      </c>
    </row>
    <row r="1878" spans="7:9" x14ac:dyDescent="0.15">
      <c r="G1878">
        <v>1859</v>
      </c>
      <c r="H1878">
        <v>-53.164461208088468</v>
      </c>
      <c r="I1878">
        <f t="shared" si="29"/>
        <v>1</v>
      </c>
    </row>
    <row r="1879" spans="7:9" x14ac:dyDescent="0.15">
      <c r="G1879">
        <v>1860</v>
      </c>
      <c r="H1879">
        <v>407.69175660061325</v>
      </c>
      <c r="I1879">
        <f t="shared" si="29"/>
        <v>0</v>
      </c>
    </row>
    <row r="1880" spans="7:9" x14ac:dyDescent="0.15">
      <c r="G1880">
        <v>1861</v>
      </c>
      <c r="H1880">
        <v>58.015249186494174</v>
      </c>
      <c r="I1880">
        <f t="shared" si="29"/>
        <v>0</v>
      </c>
    </row>
    <row r="1881" spans="7:9" x14ac:dyDescent="0.15">
      <c r="G1881">
        <v>1862</v>
      </c>
      <c r="H1881">
        <v>216.50349554835995</v>
      </c>
      <c r="I1881">
        <f t="shared" si="29"/>
        <v>0</v>
      </c>
    </row>
    <row r="1882" spans="7:9" x14ac:dyDescent="0.15">
      <c r="G1882">
        <v>1863</v>
      </c>
      <c r="H1882">
        <v>56.703909113650042</v>
      </c>
      <c r="I1882">
        <f t="shared" si="29"/>
        <v>0</v>
      </c>
    </row>
    <row r="1883" spans="7:9" x14ac:dyDescent="0.15">
      <c r="G1883">
        <v>1864</v>
      </c>
      <c r="H1883">
        <v>-303.00676595378155</v>
      </c>
      <c r="I1883">
        <f t="shared" si="29"/>
        <v>1</v>
      </c>
    </row>
    <row r="1884" spans="7:9" x14ac:dyDescent="0.15">
      <c r="G1884">
        <v>1865</v>
      </c>
      <c r="H1884">
        <v>-177.81223813567857</v>
      </c>
      <c r="I1884">
        <f t="shared" si="29"/>
        <v>1</v>
      </c>
    </row>
    <row r="1885" spans="7:9" x14ac:dyDescent="0.15">
      <c r="G1885">
        <v>1866</v>
      </c>
      <c r="H1885">
        <v>234.8567300354014</v>
      </c>
      <c r="I1885">
        <f t="shared" si="29"/>
        <v>0</v>
      </c>
    </row>
    <row r="1886" spans="7:9" x14ac:dyDescent="0.15">
      <c r="G1886">
        <v>1867</v>
      </c>
      <c r="H1886">
        <v>311.89600340803514</v>
      </c>
      <c r="I1886">
        <f t="shared" si="29"/>
        <v>0</v>
      </c>
    </row>
    <row r="1887" spans="7:9" x14ac:dyDescent="0.15">
      <c r="G1887">
        <v>1868</v>
      </c>
      <c r="H1887">
        <v>925.6348453357316</v>
      </c>
      <c r="I1887">
        <f t="shared" si="29"/>
        <v>0</v>
      </c>
    </row>
    <row r="1888" spans="7:9" x14ac:dyDescent="0.15">
      <c r="G1888">
        <v>1869</v>
      </c>
      <c r="H1888">
        <v>-198.17810826037362</v>
      </c>
      <c r="I1888">
        <f t="shared" si="29"/>
        <v>1</v>
      </c>
    </row>
    <row r="1889" spans="7:9" x14ac:dyDescent="0.15">
      <c r="G1889">
        <v>1870</v>
      </c>
      <c r="H1889">
        <v>-114.13915527435606</v>
      </c>
      <c r="I1889">
        <f t="shared" si="29"/>
        <v>1</v>
      </c>
    </row>
    <row r="1890" spans="7:9" x14ac:dyDescent="0.15">
      <c r="G1890">
        <v>1871</v>
      </c>
      <c r="H1890">
        <v>194.46735163153465</v>
      </c>
      <c r="I1890">
        <f t="shared" si="29"/>
        <v>0</v>
      </c>
    </row>
    <row r="1891" spans="7:9" x14ac:dyDescent="0.15">
      <c r="G1891">
        <v>1872</v>
      </c>
      <c r="H1891">
        <v>-50.040434429072818</v>
      </c>
      <c r="I1891">
        <f t="shared" si="29"/>
        <v>1</v>
      </c>
    </row>
    <row r="1892" spans="7:9" x14ac:dyDescent="0.15">
      <c r="G1892">
        <v>1873</v>
      </c>
      <c r="H1892">
        <v>-184.19289261287508</v>
      </c>
      <c r="I1892">
        <f t="shared" si="29"/>
        <v>1</v>
      </c>
    </row>
    <row r="1893" spans="7:9" x14ac:dyDescent="0.15">
      <c r="G1893">
        <v>1874</v>
      </c>
      <c r="H1893">
        <v>-77.723075177591312</v>
      </c>
      <c r="I1893">
        <f t="shared" si="29"/>
        <v>1</v>
      </c>
    </row>
    <row r="1894" spans="7:9" x14ac:dyDescent="0.15">
      <c r="G1894">
        <v>1875</v>
      </c>
      <c r="H1894">
        <v>462.7389245938117</v>
      </c>
      <c r="I1894">
        <f t="shared" si="29"/>
        <v>0</v>
      </c>
    </row>
    <row r="1895" spans="7:9" x14ac:dyDescent="0.15">
      <c r="G1895">
        <v>1876</v>
      </c>
      <c r="H1895">
        <v>433.77881811471622</v>
      </c>
      <c r="I1895">
        <f t="shared" si="29"/>
        <v>0</v>
      </c>
    </row>
    <row r="1896" spans="7:9" x14ac:dyDescent="0.15">
      <c r="G1896">
        <v>1877</v>
      </c>
      <c r="H1896">
        <v>147.85842547416161</v>
      </c>
      <c r="I1896">
        <f t="shared" si="29"/>
        <v>0</v>
      </c>
    </row>
    <row r="1897" spans="7:9" x14ac:dyDescent="0.15">
      <c r="G1897">
        <v>1878</v>
      </c>
      <c r="H1897">
        <v>-444.04631642052971</v>
      </c>
      <c r="I1897">
        <f t="shared" si="29"/>
        <v>1</v>
      </c>
    </row>
    <row r="1898" spans="7:9" x14ac:dyDescent="0.15">
      <c r="G1898">
        <v>1879</v>
      </c>
      <c r="H1898">
        <v>-448.90411875896092</v>
      </c>
      <c r="I1898">
        <f t="shared" si="29"/>
        <v>1</v>
      </c>
    </row>
    <row r="1899" spans="7:9" x14ac:dyDescent="0.15">
      <c r="G1899">
        <v>1880</v>
      </c>
      <c r="H1899">
        <v>-338.60057513229231</v>
      </c>
      <c r="I1899">
        <f t="shared" si="29"/>
        <v>1</v>
      </c>
    </row>
    <row r="1900" spans="7:9" x14ac:dyDescent="0.15">
      <c r="G1900">
        <v>1881</v>
      </c>
      <c r="H1900">
        <v>412.15813057295605</v>
      </c>
      <c r="I1900">
        <f t="shared" si="29"/>
        <v>0</v>
      </c>
    </row>
    <row r="1901" spans="7:9" x14ac:dyDescent="0.15">
      <c r="G1901">
        <v>1882</v>
      </c>
      <c r="H1901">
        <v>67.534874905164287</v>
      </c>
      <c r="I1901">
        <f t="shared" si="29"/>
        <v>0</v>
      </c>
    </row>
    <row r="1902" spans="7:9" x14ac:dyDescent="0.15">
      <c r="G1902">
        <v>1883</v>
      </c>
      <c r="H1902">
        <v>203.86569916453374</v>
      </c>
      <c r="I1902">
        <f t="shared" si="29"/>
        <v>0</v>
      </c>
    </row>
    <row r="1903" spans="7:9" x14ac:dyDescent="0.15">
      <c r="G1903">
        <v>1884</v>
      </c>
      <c r="H1903">
        <v>-177.81734116517265</v>
      </c>
      <c r="I1903">
        <f t="shared" si="29"/>
        <v>1</v>
      </c>
    </row>
    <row r="1904" spans="7:9" x14ac:dyDescent="0.15">
      <c r="G1904">
        <v>1885</v>
      </c>
      <c r="H1904">
        <v>282.62588648795418</v>
      </c>
      <c r="I1904">
        <f t="shared" si="29"/>
        <v>0</v>
      </c>
    </row>
    <row r="1905" spans="7:9" x14ac:dyDescent="0.15">
      <c r="G1905">
        <v>1886</v>
      </c>
      <c r="H1905">
        <v>213.64224217028911</v>
      </c>
      <c r="I1905">
        <f t="shared" si="29"/>
        <v>0</v>
      </c>
    </row>
    <row r="1906" spans="7:9" x14ac:dyDescent="0.15">
      <c r="G1906">
        <v>1887</v>
      </c>
      <c r="H1906">
        <v>242.75569472909189</v>
      </c>
      <c r="I1906">
        <f t="shared" si="29"/>
        <v>0</v>
      </c>
    </row>
    <row r="1907" spans="7:9" x14ac:dyDescent="0.15">
      <c r="G1907">
        <v>1888</v>
      </c>
      <c r="H1907">
        <v>-363.0902574952558</v>
      </c>
      <c r="I1907">
        <f t="shared" si="29"/>
        <v>1</v>
      </c>
    </row>
    <row r="1908" spans="7:9" x14ac:dyDescent="0.15">
      <c r="G1908">
        <v>1889</v>
      </c>
      <c r="H1908">
        <v>19.208418431711678</v>
      </c>
      <c r="I1908">
        <f t="shared" si="29"/>
        <v>0</v>
      </c>
    </row>
    <row r="1909" spans="7:9" x14ac:dyDescent="0.15">
      <c r="G1909">
        <v>1890</v>
      </c>
      <c r="H1909">
        <v>9.8545982133694849</v>
      </c>
      <c r="I1909">
        <f t="shared" si="29"/>
        <v>0</v>
      </c>
    </row>
    <row r="1910" spans="7:9" x14ac:dyDescent="0.15">
      <c r="G1910">
        <v>1891</v>
      </c>
      <c r="H1910">
        <v>-28.893615335011361</v>
      </c>
      <c r="I1910">
        <f t="shared" si="29"/>
        <v>1</v>
      </c>
    </row>
    <row r="1911" spans="7:9" x14ac:dyDescent="0.15">
      <c r="G1911">
        <v>1892</v>
      </c>
      <c r="H1911">
        <v>301.54588211480802</v>
      </c>
      <c r="I1911">
        <f t="shared" si="29"/>
        <v>0</v>
      </c>
    </row>
    <row r="1912" spans="7:9" x14ac:dyDescent="0.15">
      <c r="G1912">
        <v>1893</v>
      </c>
      <c r="H1912">
        <v>268.56503868461255</v>
      </c>
      <c r="I1912">
        <f t="shared" si="29"/>
        <v>0</v>
      </c>
    </row>
    <row r="1913" spans="7:9" x14ac:dyDescent="0.15">
      <c r="G1913">
        <v>1894</v>
      </c>
      <c r="H1913">
        <v>48.627464919462241</v>
      </c>
      <c r="I1913">
        <f t="shared" si="29"/>
        <v>0</v>
      </c>
    </row>
    <row r="1914" spans="7:9" x14ac:dyDescent="0.15">
      <c r="G1914">
        <v>1895</v>
      </c>
      <c r="H1914">
        <v>105.48214575896162</v>
      </c>
      <c r="I1914">
        <f t="shared" si="29"/>
        <v>0</v>
      </c>
    </row>
    <row r="1915" spans="7:9" x14ac:dyDescent="0.15">
      <c r="G1915">
        <v>1896</v>
      </c>
      <c r="H1915">
        <v>-241.68980061950381</v>
      </c>
      <c r="I1915">
        <f t="shared" si="29"/>
        <v>1</v>
      </c>
    </row>
    <row r="1916" spans="7:9" x14ac:dyDescent="0.15">
      <c r="G1916">
        <v>1897</v>
      </c>
      <c r="H1916">
        <v>-93.33957120245519</v>
      </c>
      <c r="I1916">
        <f t="shared" si="29"/>
        <v>1</v>
      </c>
    </row>
    <row r="1917" spans="7:9" x14ac:dyDescent="0.15">
      <c r="G1917">
        <v>1898</v>
      </c>
      <c r="H1917">
        <v>-53.366583379909514</v>
      </c>
      <c r="I1917">
        <f t="shared" si="29"/>
        <v>1</v>
      </c>
    </row>
    <row r="1918" spans="7:9" x14ac:dyDescent="0.15">
      <c r="G1918">
        <v>1899</v>
      </c>
      <c r="H1918">
        <v>23.253737509105719</v>
      </c>
      <c r="I1918">
        <f t="shared" si="29"/>
        <v>0</v>
      </c>
    </row>
    <row r="1919" spans="7:9" x14ac:dyDescent="0.15">
      <c r="G1919">
        <v>1900</v>
      </c>
      <c r="H1919">
        <v>357.94553069737515</v>
      </c>
      <c r="I1919">
        <f t="shared" si="29"/>
        <v>0</v>
      </c>
    </row>
    <row r="1920" spans="7:9" x14ac:dyDescent="0.15">
      <c r="G1920">
        <v>1901</v>
      </c>
      <c r="H1920">
        <v>477.59076536557217</v>
      </c>
      <c r="I1920">
        <f t="shared" si="29"/>
        <v>0</v>
      </c>
    </row>
    <row r="1921" spans="7:9" x14ac:dyDescent="0.15">
      <c r="G1921">
        <v>1902</v>
      </c>
      <c r="H1921">
        <v>-169.55483673911357</v>
      </c>
      <c r="I1921">
        <f t="shared" si="29"/>
        <v>1</v>
      </c>
    </row>
    <row r="1922" spans="7:9" x14ac:dyDescent="0.15">
      <c r="G1922">
        <v>1903</v>
      </c>
      <c r="H1922">
        <v>352.33241645120307</v>
      </c>
      <c r="I1922">
        <f t="shared" si="29"/>
        <v>0</v>
      </c>
    </row>
    <row r="1923" spans="7:9" x14ac:dyDescent="0.15">
      <c r="G1923">
        <v>1904</v>
      </c>
      <c r="H1923">
        <v>560.16178532861522</v>
      </c>
      <c r="I1923">
        <f t="shared" si="29"/>
        <v>0</v>
      </c>
    </row>
    <row r="1924" spans="7:9" x14ac:dyDescent="0.15">
      <c r="G1924">
        <v>1905</v>
      </c>
      <c r="H1924">
        <v>246.8526187439854</v>
      </c>
      <c r="I1924">
        <f t="shared" si="29"/>
        <v>0</v>
      </c>
    </row>
    <row r="1925" spans="7:9" x14ac:dyDescent="0.15">
      <c r="G1925">
        <v>1906</v>
      </c>
      <c r="H1925">
        <v>-231.93279148580825</v>
      </c>
      <c r="I1925">
        <f t="shared" si="29"/>
        <v>1</v>
      </c>
    </row>
    <row r="1926" spans="7:9" x14ac:dyDescent="0.15">
      <c r="G1926">
        <v>1907</v>
      </c>
      <c r="H1926">
        <v>-40.846343989257434</v>
      </c>
      <c r="I1926">
        <f t="shared" si="29"/>
        <v>1</v>
      </c>
    </row>
    <row r="1927" spans="7:9" x14ac:dyDescent="0.15">
      <c r="G1927">
        <v>1908</v>
      </c>
      <c r="H1927">
        <v>301.40860667734967</v>
      </c>
      <c r="I1927">
        <f t="shared" si="29"/>
        <v>0</v>
      </c>
    </row>
    <row r="1928" spans="7:9" x14ac:dyDescent="0.15">
      <c r="G1928">
        <v>1909</v>
      </c>
      <c r="H1928">
        <v>46.315751810776504</v>
      </c>
      <c r="I1928">
        <f t="shared" si="29"/>
        <v>0</v>
      </c>
    </row>
    <row r="1929" spans="7:9" x14ac:dyDescent="0.15">
      <c r="G1929">
        <v>1910</v>
      </c>
      <c r="H1929">
        <v>22.968487999800999</v>
      </c>
      <c r="I1929">
        <f t="shared" si="29"/>
        <v>0</v>
      </c>
    </row>
    <row r="1930" spans="7:9" x14ac:dyDescent="0.15">
      <c r="G1930">
        <v>1911</v>
      </c>
      <c r="H1930">
        <v>422.67197120155657</v>
      </c>
      <c r="I1930">
        <f t="shared" si="29"/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G123"/>
  <sheetViews>
    <sheetView zoomScale="150" zoomScaleNormal="150" zoomScalePageLayoutView="150" workbookViewId="0">
      <selection activeCell="I125" sqref="I125"/>
    </sheetView>
  </sheetViews>
  <sheetFormatPr baseColWidth="10" defaultRowHeight="13" x14ac:dyDescent="0.15"/>
  <cols>
    <col min="1" max="1" width="18.1640625" customWidth="1"/>
    <col min="2" max="2" width="8" customWidth="1"/>
    <col min="3" max="3" width="7.1640625" customWidth="1"/>
    <col min="4" max="4" width="8.1640625" customWidth="1"/>
    <col min="5" max="5" width="5.5" customWidth="1"/>
    <col min="6" max="6" width="6.33203125" customWidth="1"/>
    <col min="7" max="7" width="5.5" customWidth="1"/>
  </cols>
  <sheetData>
    <row r="1" spans="1:7" x14ac:dyDescent="0.15">
      <c r="A1" s="33" t="s">
        <v>89</v>
      </c>
    </row>
    <row r="2" spans="1:7" x14ac:dyDescent="0.15">
      <c r="A2" s="43" t="s">
        <v>44</v>
      </c>
      <c r="D2" s="33" t="s">
        <v>94</v>
      </c>
    </row>
    <row r="3" spans="1:7" x14ac:dyDescent="0.15">
      <c r="A3" s="44" t="s">
        <v>90</v>
      </c>
      <c r="B3">
        <v>0.15</v>
      </c>
      <c r="D3" s="25" t="s">
        <v>35</v>
      </c>
      <c r="E3" s="25" t="s">
        <v>38</v>
      </c>
      <c r="F3" s="25" t="s">
        <v>36</v>
      </c>
      <c r="G3" s="25" t="s">
        <v>93</v>
      </c>
    </row>
    <row r="4" spans="1:7" x14ac:dyDescent="0.15">
      <c r="A4" s="44" t="s">
        <v>91</v>
      </c>
      <c r="B4">
        <v>0.25</v>
      </c>
      <c r="D4">
        <v>0.1</v>
      </c>
      <c r="E4">
        <v>0</v>
      </c>
      <c r="F4">
        <f>D4</f>
        <v>0.1</v>
      </c>
      <c r="G4">
        <v>5</v>
      </c>
    </row>
    <row r="5" spans="1:7" x14ac:dyDescent="0.15">
      <c r="A5" s="44" t="s">
        <v>92</v>
      </c>
      <c r="B5">
        <v>0.02</v>
      </c>
      <c r="D5">
        <v>0.2</v>
      </c>
      <c r="E5">
        <f>F4</f>
        <v>0.1</v>
      </c>
      <c r="F5">
        <f>F4+D5</f>
        <v>0.30000000000000004</v>
      </c>
      <c r="G5">
        <v>10</v>
      </c>
    </row>
    <row r="6" spans="1:7" x14ac:dyDescent="0.15">
      <c r="D6">
        <v>0.3</v>
      </c>
      <c r="E6">
        <f t="shared" ref="E6:E10" si="0">F5</f>
        <v>0.30000000000000004</v>
      </c>
      <c r="F6">
        <f t="shared" ref="F6:F10" si="1">F5+D6</f>
        <v>0.60000000000000009</v>
      </c>
      <c r="G6">
        <v>40</v>
      </c>
    </row>
    <row r="7" spans="1:7" x14ac:dyDescent="0.15">
      <c r="A7" s="43" t="s">
        <v>96</v>
      </c>
      <c r="D7">
        <v>0.2</v>
      </c>
      <c r="E7">
        <f t="shared" si="0"/>
        <v>0.60000000000000009</v>
      </c>
      <c r="F7">
        <f t="shared" si="1"/>
        <v>0.8</v>
      </c>
      <c r="G7">
        <v>45</v>
      </c>
    </row>
    <row r="8" spans="1:7" x14ac:dyDescent="0.15">
      <c r="A8" s="44" t="s">
        <v>97</v>
      </c>
      <c r="B8">
        <v>30</v>
      </c>
      <c r="D8">
        <v>0.1</v>
      </c>
      <c r="E8">
        <f t="shared" si="0"/>
        <v>0.8</v>
      </c>
      <c r="F8">
        <f t="shared" si="1"/>
        <v>0.9</v>
      </c>
      <c r="G8">
        <v>50</v>
      </c>
    </row>
    <row r="9" spans="1:7" x14ac:dyDescent="0.15">
      <c r="D9">
        <v>0.05</v>
      </c>
      <c r="E9">
        <f t="shared" si="0"/>
        <v>0.9</v>
      </c>
      <c r="F9">
        <f t="shared" si="1"/>
        <v>0.95000000000000007</v>
      </c>
      <c r="G9">
        <v>55</v>
      </c>
    </row>
    <row r="10" spans="1:7" x14ac:dyDescent="0.15">
      <c r="A10" s="33" t="s">
        <v>98</v>
      </c>
      <c r="D10">
        <v>0.05</v>
      </c>
      <c r="E10">
        <f t="shared" si="0"/>
        <v>0.95000000000000007</v>
      </c>
      <c r="F10">
        <f t="shared" si="1"/>
        <v>1</v>
      </c>
      <c r="G10">
        <v>60</v>
      </c>
    </row>
    <row r="11" spans="1:7" x14ac:dyDescent="0.15">
      <c r="A11" s="42" t="s">
        <v>95</v>
      </c>
      <c r="B11">
        <f ca="1">E13</f>
        <v>10</v>
      </c>
    </row>
    <row r="12" spans="1:7" x14ac:dyDescent="0.15">
      <c r="A12" s="44" t="s">
        <v>99</v>
      </c>
      <c r="B12">
        <f ca="1">MIN(B11,B8)</f>
        <v>10</v>
      </c>
      <c r="D12" s="42" t="s">
        <v>105</v>
      </c>
      <c r="E12">
        <f ca="1">RAND()</f>
        <v>0.25496659465862592</v>
      </c>
    </row>
    <row r="13" spans="1:7" x14ac:dyDescent="0.15">
      <c r="A13" s="42" t="s">
        <v>100</v>
      </c>
      <c r="B13">
        <f ca="1">MAX(0,B8-B11)</f>
        <v>20</v>
      </c>
      <c r="D13" s="42" t="s">
        <v>106</v>
      </c>
      <c r="E13">
        <f ca="1">VLOOKUP(E12,E4:G10,3)</f>
        <v>10</v>
      </c>
    </row>
    <row r="14" spans="1:7" x14ac:dyDescent="0.15">
      <c r="A14" s="42" t="s">
        <v>101</v>
      </c>
      <c r="B14">
        <f ca="1">B12*B4</f>
        <v>2.5</v>
      </c>
    </row>
    <row r="15" spans="1:7" x14ac:dyDescent="0.15">
      <c r="A15" s="42" t="s">
        <v>102</v>
      </c>
      <c r="B15">
        <f ca="1">B13*B5</f>
        <v>0.4</v>
      </c>
    </row>
    <row r="16" spans="1:7" x14ac:dyDescent="0.15">
      <c r="A16" s="42" t="s">
        <v>103</v>
      </c>
      <c r="B16">
        <f>B8*B3</f>
        <v>4.5</v>
      </c>
    </row>
    <row r="17" spans="1:2" x14ac:dyDescent="0.15">
      <c r="A17" s="42" t="s">
        <v>104</v>
      </c>
      <c r="B17">
        <f ca="1">B14+B15-B16</f>
        <v>-1.6</v>
      </c>
    </row>
    <row r="19" spans="1:2" x14ac:dyDescent="0.15">
      <c r="A19" s="43" t="s">
        <v>107</v>
      </c>
    </row>
    <row r="20" spans="1:2" x14ac:dyDescent="0.15">
      <c r="A20" s="42" t="s">
        <v>81</v>
      </c>
      <c r="B20">
        <f>AVERAGE(B24:B123)</f>
        <v>1.3440000000000005</v>
      </c>
    </row>
    <row r="22" spans="1:2" x14ac:dyDescent="0.15">
      <c r="A22" s="25" t="s">
        <v>108</v>
      </c>
    </row>
    <row r="23" spans="1:2" x14ac:dyDescent="0.15">
      <c r="B23">
        <f ca="1">B17</f>
        <v>-1.6</v>
      </c>
    </row>
    <row r="24" spans="1:2" x14ac:dyDescent="0.15">
      <c r="A24">
        <v>1</v>
      </c>
      <c r="B24">
        <f t="dataTable" ref="B24:B123" dt2D="0" dtr="0" r1="A23" ca="1"/>
        <v>3</v>
      </c>
    </row>
    <row r="25" spans="1:2" x14ac:dyDescent="0.15">
      <c r="A25">
        <v>2</v>
      </c>
      <c r="B25">
        <v>3</v>
      </c>
    </row>
    <row r="26" spans="1:2" x14ac:dyDescent="0.15">
      <c r="A26">
        <v>3</v>
      </c>
      <c r="B26">
        <v>-2.75</v>
      </c>
    </row>
    <row r="27" spans="1:2" x14ac:dyDescent="0.15">
      <c r="A27">
        <v>4</v>
      </c>
      <c r="B27">
        <v>3</v>
      </c>
    </row>
    <row r="28" spans="1:2" hidden="1" x14ac:dyDescent="0.15">
      <c r="A28">
        <v>5</v>
      </c>
      <c r="B28">
        <v>3</v>
      </c>
    </row>
    <row r="29" spans="1:2" hidden="1" x14ac:dyDescent="0.15">
      <c r="A29">
        <v>6</v>
      </c>
      <c r="B29">
        <v>3</v>
      </c>
    </row>
    <row r="30" spans="1:2" hidden="1" x14ac:dyDescent="0.15">
      <c r="A30">
        <v>7</v>
      </c>
      <c r="B30">
        <v>3</v>
      </c>
    </row>
    <row r="31" spans="1:2" hidden="1" x14ac:dyDescent="0.15">
      <c r="A31">
        <v>8</v>
      </c>
      <c r="B31">
        <v>3</v>
      </c>
    </row>
    <row r="32" spans="1:2" hidden="1" x14ac:dyDescent="0.15">
      <c r="A32">
        <v>9</v>
      </c>
      <c r="B32">
        <v>3</v>
      </c>
    </row>
    <row r="33" spans="1:2" hidden="1" x14ac:dyDescent="0.15">
      <c r="A33">
        <v>10</v>
      </c>
      <c r="B33">
        <v>3</v>
      </c>
    </row>
    <row r="34" spans="1:2" hidden="1" x14ac:dyDescent="0.15">
      <c r="A34">
        <v>11</v>
      </c>
      <c r="B34">
        <v>-2.75</v>
      </c>
    </row>
    <row r="35" spans="1:2" hidden="1" x14ac:dyDescent="0.15">
      <c r="A35">
        <v>12</v>
      </c>
      <c r="B35">
        <v>3</v>
      </c>
    </row>
    <row r="36" spans="1:2" hidden="1" x14ac:dyDescent="0.15">
      <c r="A36">
        <v>13</v>
      </c>
      <c r="B36">
        <v>3</v>
      </c>
    </row>
    <row r="37" spans="1:2" hidden="1" x14ac:dyDescent="0.15">
      <c r="A37">
        <v>14</v>
      </c>
      <c r="B37">
        <v>-1.6</v>
      </c>
    </row>
    <row r="38" spans="1:2" hidden="1" x14ac:dyDescent="0.15">
      <c r="A38">
        <v>15</v>
      </c>
      <c r="B38">
        <v>3</v>
      </c>
    </row>
    <row r="39" spans="1:2" hidden="1" x14ac:dyDescent="0.15">
      <c r="A39">
        <v>16</v>
      </c>
      <c r="B39">
        <v>3</v>
      </c>
    </row>
    <row r="40" spans="1:2" hidden="1" x14ac:dyDescent="0.15">
      <c r="A40">
        <v>17</v>
      </c>
      <c r="B40">
        <v>-2.75</v>
      </c>
    </row>
    <row r="41" spans="1:2" hidden="1" x14ac:dyDescent="0.15">
      <c r="A41">
        <v>18</v>
      </c>
      <c r="B41">
        <v>-1.6</v>
      </c>
    </row>
    <row r="42" spans="1:2" hidden="1" x14ac:dyDescent="0.15">
      <c r="A42">
        <v>19</v>
      </c>
      <c r="B42">
        <v>-1.6</v>
      </c>
    </row>
    <row r="43" spans="1:2" hidden="1" x14ac:dyDescent="0.15">
      <c r="A43">
        <v>20</v>
      </c>
      <c r="B43">
        <v>-2.75</v>
      </c>
    </row>
    <row r="44" spans="1:2" hidden="1" x14ac:dyDescent="0.15">
      <c r="A44">
        <v>21</v>
      </c>
      <c r="B44">
        <v>3</v>
      </c>
    </row>
    <row r="45" spans="1:2" hidden="1" x14ac:dyDescent="0.15">
      <c r="A45">
        <v>22</v>
      </c>
      <c r="B45">
        <v>3</v>
      </c>
    </row>
    <row r="46" spans="1:2" hidden="1" x14ac:dyDescent="0.15">
      <c r="A46">
        <v>23</v>
      </c>
      <c r="B46">
        <v>3</v>
      </c>
    </row>
    <row r="47" spans="1:2" hidden="1" x14ac:dyDescent="0.15">
      <c r="A47">
        <v>24</v>
      </c>
      <c r="B47">
        <v>-1.6</v>
      </c>
    </row>
    <row r="48" spans="1:2" hidden="1" x14ac:dyDescent="0.15">
      <c r="A48">
        <v>25</v>
      </c>
      <c r="B48">
        <v>-1.6</v>
      </c>
    </row>
    <row r="49" spans="1:2" hidden="1" x14ac:dyDescent="0.15">
      <c r="A49">
        <v>26</v>
      </c>
      <c r="B49">
        <v>3</v>
      </c>
    </row>
    <row r="50" spans="1:2" hidden="1" x14ac:dyDescent="0.15">
      <c r="A50">
        <v>27</v>
      </c>
      <c r="B50">
        <v>3</v>
      </c>
    </row>
    <row r="51" spans="1:2" hidden="1" x14ac:dyDescent="0.15">
      <c r="A51">
        <v>28</v>
      </c>
      <c r="B51">
        <v>-2.75</v>
      </c>
    </row>
    <row r="52" spans="1:2" hidden="1" x14ac:dyDescent="0.15">
      <c r="A52">
        <v>29</v>
      </c>
      <c r="B52">
        <v>3</v>
      </c>
    </row>
    <row r="53" spans="1:2" hidden="1" x14ac:dyDescent="0.15">
      <c r="A53">
        <v>30</v>
      </c>
      <c r="B53">
        <v>-2.75</v>
      </c>
    </row>
    <row r="54" spans="1:2" hidden="1" x14ac:dyDescent="0.15">
      <c r="A54">
        <v>31</v>
      </c>
      <c r="B54">
        <v>3</v>
      </c>
    </row>
    <row r="55" spans="1:2" hidden="1" x14ac:dyDescent="0.15">
      <c r="A55">
        <v>32</v>
      </c>
      <c r="B55">
        <v>3</v>
      </c>
    </row>
    <row r="56" spans="1:2" hidden="1" x14ac:dyDescent="0.15">
      <c r="A56">
        <v>33</v>
      </c>
      <c r="B56">
        <v>3</v>
      </c>
    </row>
    <row r="57" spans="1:2" hidden="1" x14ac:dyDescent="0.15">
      <c r="A57">
        <v>34</v>
      </c>
      <c r="B57">
        <v>-1.6</v>
      </c>
    </row>
    <row r="58" spans="1:2" hidden="1" x14ac:dyDescent="0.15">
      <c r="A58">
        <v>35</v>
      </c>
      <c r="B58">
        <v>3</v>
      </c>
    </row>
    <row r="59" spans="1:2" hidden="1" x14ac:dyDescent="0.15">
      <c r="A59">
        <v>36</v>
      </c>
      <c r="B59">
        <v>3</v>
      </c>
    </row>
    <row r="60" spans="1:2" hidden="1" x14ac:dyDescent="0.15">
      <c r="A60">
        <v>37</v>
      </c>
      <c r="B60">
        <v>3</v>
      </c>
    </row>
    <row r="61" spans="1:2" hidden="1" x14ac:dyDescent="0.15">
      <c r="A61">
        <v>38</v>
      </c>
      <c r="B61">
        <v>3</v>
      </c>
    </row>
    <row r="62" spans="1:2" hidden="1" x14ac:dyDescent="0.15">
      <c r="A62">
        <v>39</v>
      </c>
      <c r="B62">
        <v>3</v>
      </c>
    </row>
    <row r="63" spans="1:2" hidden="1" x14ac:dyDescent="0.15">
      <c r="A63">
        <v>40</v>
      </c>
      <c r="B63">
        <v>3</v>
      </c>
    </row>
    <row r="64" spans="1:2" hidden="1" x14ac:dyDescent="0.15">
      <c r="A64">
        <v>41</v>
      </c>
      <c r="B64">
        <v>3</v>
      </c>
    </row>
    <row r="65" spans="1:2" hidden="1" x14ac:dyDescent="0.15">
      <c r="A65">
        <v>42</v>
      </c>
      <c r="B65">
        <v>3</v>
      </c>
    </row>
    <row r="66" spans="1:2" hidden="1" x14ac:dyDescent="0.15">
      <c r="A66">
        <v>43</v>
      </c>
      <c r="B66">
        <v>-2.75</v>
      </c>
    </row>
    <row r="67" spans="1:2" hidden="1" x14ac:dyDescent="0.15">
      <c r="A67">
        <v>44</v>
      </c>
      <c r="B67">
        <v>-1.6</v>
      </c>
    </row>
    <row r="68" spans="1:2" hidden="1" x14ac:dyDescent="0.15">
      <c r="A68">
        <v>45</v>
      </c>
      <c r="B68">
        <v>-1.6</v>
      </c>
    </row>
    <row r="69" spans="1:2" hidden="1" x14ac:dyDescent="0.15">
      <c r="A69">
        <v>46</v>
      </c>
      <c r="B69">
        <v>3</v>
      </c>
    </row>
    <row r="70" spans="1:2" hidden="1" x14ac:dyDescent="0.15">
      <c r="A70">
        <v>47</v>
      </c>
      <c r="B70">
        <v>-1.6</v>
      </c>
    </row>
    <row r="71" spans="1:2" hidden="1" x14ac:dyDescent="0.15">
      <c r="A71">
        <v>48</v>
      </c>
      <c r="B71">
        <v>3</v>
      </c>
    </row>
    <row r="72" spans="1:2" hidden="1" x14ac:dyDescent="0.15">
      <c r="A72">
        <v>49</v>
      </c>
      <c r="B72">
        <v>-2.75</v>
      </c>
    </row>
    <row r="73" spans="1:2" hidden="1" x14ac:dyDescent="0.15">
      <c r="A73">
        <v>50</v>
      </c>
      <c r="B73">
        <v>3</v>
      </c>
    </row>
    <row r="74" spans="1:2" hidden="1" x14ac:dyDescent="0.15">
      <c r="A74">
        <v>51</v>
      </c>
      <c r="B74">
        <v>3</v>
      </c>
    </row>
    <row r="75" spans="1:2" hidden="1" x14ac:dyDescent="0.15">
      <c r="A75">
        <v>52</v>
      </c>
      <c r="B75">
        <v>3</v>
      </c>
    </row>
    <row r="76" spans="1:2" hidden="1" x14ac:dyDescent="0.15">
      <c r="A76">
        <v>53</v>
      </c>
      <c r="B76">
        <v>3</v>
      </c>
    </row>
    <row r="77" spans="1:2" hidden="1" x14ac:dyDescent="0.15">
      <c r="A77">
        <v>54</v>
      </c>
      <c r="B77">
        <v>-1.6</v>
      </c>
    </row>
    <row r="78" spans="1:2" hidden="1" x14ac:dyDescent="0.15">
      <c r="A78">
        <v>55</v>
      </c>
      <c r="B78">
        <v>3</v>
      </c>
    </row>
    <row r="79" spans="1:2" hidden="1" x14ac:dyDescent="0.15">
      <c r="A79">
        <v>56</v>
      </c>
      <c r="B79">
        <v>-1.6</v>
      </c>
    </row>
    <row r="80" spans="1:2" hidden="1" x14ac:dyDescent="0.15">
      <c r="A80">
        <v>57</v>
      </c>
      <c r="B80">
        <v>3</v>
      </c>
    </row>
    <row r="81" spans="1:2" hidden="1" x14ac:dyDescent="0.15">
      <c r="A81">
        <v>58</v>
      </c>
      <c r="B81">
        <v>3</v>
      </c>
    </row>
    <row r="82" spans="1:2" hidden="1" x14ac:dyDescent="0.15">
      <c r="A82">
        <v>59</v>
      </c>
      <c r="B82">
        <v>-2.75</v>
      </c>
    </row>
    <row r="83" spans="1:2" hidden="1" x14ac:dyDescent="0.15">
      <c r="A83">
        <v>60</v>
      </c>
      <c r="B83">
        <v>3</v>
      </c>
    </row>
    <row r="84" spans="1:2" hidden="1" x14ac:dyDescent="0.15">
      <c r="A84">
        <v>61</v>
      </c>
      <c r="B84">
        <v>-1.6</v>
      </c>
    </row>
    <row r="85" spans="1:2" hidden="1" x14ac:dyDescent="0.15">
      <c r="A85">
        <v>62</v>
      </c>
      <c r="B85">
        <v>-2.75</v>
      </c>
    </row>
    <row r="86" spans="1:2" hidden="1" x14ac:dyDescent="0.15">
      <c r="A86">
        <v>63</v>
      </c>
      <c r="B86">
        <v>3</v>
      </c>
    </row>
    <row r="87" spans="1:2" hidden="1" x14ac:dyDescent="0.15">
      <c r="A87">
        <v>64</v>
      </c>
      <c r="B87">
        <v>-1.6</v>
      </c>
    </row>
    <row r="88" spans="1:2" hidden="1" x14ac:dyDescent="0.15">
      <c r="A88">
        <v>65</v>
      </c>
      <c r="B88">
        <v>3</v>
      </c>
    </row>
    <row r="89" spans="1:2" hidden="1" x14ac:dyDescent="0.15">
      <c r="A89">
        <v>66</v>
      </c>
      <c r="B89">
        <v>-1.6</v>
      </c>
    </row>
    <row r="90" spans="1:2" hidden="1" x14ac:dyDescent="0.15">
      <c r="A90">
        <v>67</v>
      </c>
      <c r="B90">
        <v>3</v>
      </c>
    </row>
    <row r="91" spans="1:2" hidden="1" x14ac:dyDescent="0.15">
      <c r="A91">
        <v>68</v>
      </c>
      <c r="B91">
        <v>3</v>
      </c>
    </row>
    <row r="92" spans="1:2" hidden="1" x14ac:dyDescent="0.15">
      <c r="A92">
        <v>69</v>
      </c>
      <c r="B92">
        <v>-1.6</v>
      </c>
    </row>
    <row r="93" spans="1:2" hidden="1" x14ac:dyDescent="0.15">
      <c r="A93">
        <v>70</v>
      </c>
      <c r="B93">
        <v>3</v>
      </c>
    </row>
    <row r="94" spans="1:2" hidden="1" x14ac:dyDescent="0.15">
      <c r="A94">
        <v>71</v>
      </c>
      <c r="B94">
        <v>3</v>
      </c>
    </row>
    <row r="95" spans="1:2" hidden="1" x14ac:dyDescent="0.15">
      <c r="A95">
        <v>72</v>
      </c>
      <c r="B95">
        <v>-2.75</v>
      </c>
    </row>
    <row r="96" spans="1:2" hidden="1" x14ac:dyDescent="0.15">
      <c r="A96">
        <v>73</v>
      </c>
      <c r="B96">
        <v>3</v>
      </c>
    </row>
    <row r="97" spans="1:2" hidden="1" x14ac:dyDescent="0.15">
      <c r="A97">
        <v>74</v>
      </c>
      <c r="B97">
        <v>3</v>
      </c>
    </row>
    <row r="98" spans="1:2" hidden="1" x14ac:dyDescent="0.15">
      <c r="A98">
        <v>75</v>
      </c>
      <c r="B98">
        <v>-1.6</v>
      </c>
    </row>
    <row r="99" spans="1:2" hidden="1" x14ac:dyDescent="0.15">
      <c r="A99">
        <v>76</v>
      </c>
      <c r="B99">
        <v>3</v>
      </c>
    </row>
    <row r="100" spans="1:2" hidden="1" x14ac:dyDescent="0.15">
      <c r="A100">
        <v>77</v>
      </c>
      <c r="B100">
        <v>3</v>
      </c>
    </row>
    <row r="101" spans="1:2" hidden="1" x14ac:dyDescent="0.15">
      <c r="A101">
        <v>78</v>
      </c>
      <c r="B101">
        <v>3</v>
      </c>
    </row>
    <row r="102" spans="1:2" hidden="1" x14ac:dyDescent="0.15">
      <c r="A102">
        <v>79</v>
      </c>
      <c r="B102">
        <v>3</v>
      </c>
    </row>
    <row r="103" spans="1:2" hidden="1" x14ac:dyDescent="0.15">
      <c r="A103">
        <v>80</v>
      </c>
      <c r="B103">
        <v>-1.6</v>
      </c>
    </row>
    <row r="104" spans="1:2" hidden="1" x14ac:dyDescent="0.15">
      <c r="A104">
        <v>81</v>
      </c>
      <c r="B104">
        <v>3</v>
      </c>
    </row>
    <row r="105" spans="1:2" hidden="1" x14ac:dyDescent="0.15">
      <c r="A105">
        <v>82</v>
      </c>
      <c r="B105">
        <v>-1.6</v>
      </c>
    </row>
    <row r="106" spans="1:2" hidden="1" x14ac:dyDescent="0.15">
      <c r="A106">
        <v>83</v>
      </c>
      <c r="B106">
        <v>3</v>
      </c>
    </row>
    <row r="107" spans="1:2" hidden="1" x14ac:dyDescent="0.15">
      <c r="A107">
        <v>84</v>
      </c>
      <c r="B107">
        <v>3</v>
      </c>
    </row>
    <row r="108" spans="1:2" hidden="1" x14ac:dyDescent="0.15">
      <c r="A108">
        <v>85</v>
      </c>
      <c r="B108">
        <v>3</v>
      </c>
    </row>
    <row r="109" spans="1:2" hidden="1" x14ac:dyDescent="0.15">
      <c r="A109">
        <v>86</v>
      </c>
      <c r="B109">
        <v>-1.6</v>
      </c>
    </row>
    <row r="110" spans="1:2" hidden="1" x14ac:dyDescent="0.15">
      <c r="A110">
        <v>87</v>
      </c>
      <c r="B110">
        <v>3</v>
      </c>
    </row>
    <row r="111" spans="1:2" hidden="1" x14ac:dyDescent="0.15">
      <c r="A111">
        <v>88</v>
      </c>
      <c r="B111">
        <v>3</v>
      </c>
    </row>
    <row r="112" spans="1:2" hidden="1" x14ac:dyDescent="0.15">
      <c r="A112">
        <v>89</v>
      </c>
      <c r="B112">
        <v>3</v>
      </c>
    </row>
    <row r="113" spans="1:2" hidden="1" x14ac:dyDescent="0.15">
      <c r="A113">
        <v>90</v>
      </c>
      <c r="B113">
        <v>-2.75</v>
      </c>
    </row>
    <row r="114" spans="1:2" hidden="1" x14ac:dyDescent="0.15">
      <c r="A114">
        <v>91</v>
      </c>
      <c r="B114">
        <v>3</v>
      </c>
    </row>
    <row r="115" spans="1:2" hidden="1" x14ac:dyDescent="0.15">
      <c r="A115">
        <v>92</v>
      </c>
      <c r="B115">
        <v>-1.6</v>
      </c>
    </row>
    <row r="116" spans="1:2" hidden="1" x14ac:dyDescent="0.15">
      <c r="A116">
        <v>93</v>
      </c>
      <c r="B116">
        <v>3</v>
      </c>
    </row>
    <row r="117" spans="1:2" hidden="1" x14ac:dyDescent="0.15">
      <c r="A117">
        <v>94</v>
      </c>
      <c r="B117">
        <v>3</v>
      </c>
    </row>
    <row r="118" spans="1:2" x14ac:dyDescent="0.15">
      <c r="A118">
        <v>95</v>
      </c>
      <c r="B118">
        <v>3</v>
      </c>
    </row>
    <row r="119" spans="1:2" x14ac:dyDescent="0.15">
      <c r="A119">
        <v>96</v>
      </c>
      <c r="B119">
        <v>3</v>
      </c>
    </row>
    <row r="120" spans="1:2" x14ac:dyDescent="0.15">
      <c r="A120">
        <v>97</v>
      </c>
      <c r="B120">
        <v>3</v>
      </c>
    </row>
    <row r="121" spans="1:2" x14ac:dyDescent="0.15">
      <c r="A121">
        <v>98</v>
      </c>
      <c r="B121">
        <v>3</v>
      </c>
    </row>
    <row r="122" spans="1:2" x14ac:dyDescent="0.15">
      <c r="A122">
        <v>99</v>
      </c>
      <c r="B122">
        <v>-1.6</v>
      </c>
    </row>
    <row r="123" spans="1:2" x14ac:dyDescent="0.15">
      <c r="A123">
        <v>100</v>
      </c>
      <c r="B123">
        <v>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D9"/>
  <sheetViews>
    <sheetView zoomScale="150" workbookViewId="0">
      <selection activeCell="B3" sqref="B3"/>
    </sheetView>
  </sheetViews>
  <sheetFormatPr baseColWidth="10" defaultColWidth="8.83203125" defaultRowHeight="13" x14ac:dyDescent="0.15"/>
  <cols>
    <col min="1" max="1" width="10.1640625" bestFit="1" customWidth="1"/>
  </cols>
  <sheetData>
    <row r="1" spans="1:4" x14ac:dyDescent="0.15">
      <c r="D1" s="33"/>
    </row>
    <row r="2" spans="1:4" x14ac:dyDescent="0.15">
      <c r="A2" s="33" t="s">
        <v>66</v>
      </c>
      <c r="B2">
        <v>0.05</v>
      </c>
      <c r="D2" s="33"/>
    </row>
    <row r="3" spans="1:4" x14ac:dyDescent="0.15">
      <c r="A3" s="33" t="s">
        <v>110</v>
      </c>
      <c r="B3">
        <v>1.87781</v>
      </c>
      <c r="D3" s="33"/>
    </row>
    <row r="4" spans="1:4" x14ac:dyDescent="0.15">
      <c r="A4" s="33" t="s">
        <v>111</v>
      </c>
      <c r="B4">
        <v>0.1</v>
      </c>
      <c r="D4" s="33"/>
    </row>
    <row r="5" spans="1:4" x14ac:dyDescent="0.15">
      <c r="A5" s="33" t="s">
        <v>82</v>
      </c>
      <c r="B5">
        <v>1348.7994867996626</v>
      </c>
      <c r="D5" s="33"/>
    </row>
    <row r="6" spans="1:4" x14ac:dyDescent="0.15">
      <c r="A6" s="33" t="s">
        <v>112</v>
      </c>
      <c r="B6">
        <f>B2/2</f>
        <v>2.5000000000000001E-2</v>
      </c>
      <c r="D6" s="33"/>
    </row>
    <row r="7" spans="1:4" x14ac:dyDescent="0.15">
      <c r="A7" s="33" t="s">
        <v>122</v>
      </c>
      <c r="B7">
        <f>_xlfn.T.INV(1-B6,B5-1)</f>
        <v>1.9617266928070978</v>
      </c>
      <c r="D7" s="33"/>
    </row>
    <row r="8" spans="1:4" x14ac:dyDescent="0.15">
      <c r="A8" s="33" t="s">
        <v>113</v>
      </c>
      <c r="B8">
        <f>B7*B3/SQRT(B5)</f>
        <v>0.10030358438288722</v>
      </c>
      <c r="D8" s="33"/>
    </row>
    <row r="9" spans="1:4" x14ac:dyDescent="0.15">
      <c r="A9" s="33" t="s">
        <v>114</v>
      </c>
      <c r="B9">
        <f>B8-B4</f>
        <v>3.0358438288721756E-4</v>
      </c>
    </row>
  </sheetData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D7"/>
  <sheetViews>
    <sheetView tabSelected="1" zoomScale="150" workbookViewId="0">
      <selection activeCell="D10" sqref="D10"/>
    </sheetView>
  </sheetViews>
  <sheetFormatPr baseColWidth="10" defaultColWidth="8.83203125" defaultRowHeight="13" x14ac:dyDescent="0.15"/>
  <cols>
    <col min="1" max="1" width="12.33203125" customWidth="1"/>
  </cols>
  <sheetData>
    <row r="1" spans="1:4" x14ac:dyDescent="0.15">
      <c r="D1" s="33"/>
    </row>
    <row r="2" spans="1:4" x14ac:dyDescent="0.15">
      <c r="A2" s="33" t="s">
        <v>66</v>
      </c>
      <c r="B2">
        <v>0.05</v>
      </c>
      <c r="D2" s="33"/>
    </row>
    <row r="3" spans="1:4" ht="14" x14ac:dyDescent="0.2">
      <c r="A3" s="33" t="s">
        <v>110</v>
      </c>
      <c r="B3" s="45">
        <v>1.87781</v>
      </c>
      <c r="D3" s="33"/>
    </row>
    <row r="4" spans="1:4" x14ac:dyDescent="0.15">
      <c r="A4" s="33" t="s">
        <v>127</v>
      </c>
      <c r="B4">
        <v>0.1</v>
      </c>
      <c r="D4" s="33"/>
    </row>
    <row r="5" spans="1:4" x14ac:dyDescent="0.15">
      <c r="A5" s="33" t="s">
        <v>112</v>
      </c>
      <c r="B5">
        <f>B2/2</f>
        <v>2.5000000000000001E-2</v>
      </c>
      <c r="D5" s="33"/>
    </row>
    <row r="6" spans="1:4" x14ac:dyDescent="0.15">
      <c r="A6" s="33" t="s">
        <v>126</v>
      </c>
      <c r="B6">
        <f>_xlfn.NORM.S.INV(1-B5)</f>
        <v>1.9599639845400536</v>
      </c>
      <c r="D6" s="33"/>
    </row>
    <row r="7" spans="1:4" x14ac:dyDescent="0.15">
      <c r="A7" s="33" t="s">
        <v>125</v>
      </c>
      <c r="B7">
        <f>(B6*B3/B4)^2</f>
        <v>1354.5638371368834</v>
      </c>
    </row>
  </sheetData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C5"/>
  <sheetViews>
    <sheetView zoomScale="150" zoomScaleNormal="150" zoomScalePageLayoutView="150" workbookViewId="0">
      <selection activeCell="C8" sqref="C8"/>
    </sheetView>
  </sheetViews>
  <sheetFormatPr baseColWidth="10" defaultColWidth="8.83203125" defaultRowHeight="13" x14ac:dyDescent="0.15"/>
  <cols>
    <col min="1" max="1" width="11.33203125" customWidth="1"/>
    <col min="3" max="3" width="13.83203125" customWidth="1"/>
  </cols>
  <sheetData>
    <row r="1" spans="1:3" x14ac:dyDescent="0.15">
      <c r="A1" s="33" t="s">
        <v>115</v>
      </c>
      <c r="B1">
        <v>5</v>
      </c>
    </row>
    <row r="2" spans="1:3" x14ac:dyDescent="0.15">
      <c r="A2" s="33" t="s">
        <v>66</v>
      </c>
      <c r="B2">
        <v>0.05</v>
      </c>
    </row>
    <row r="3" spans="1:3" x14ac:dyDescent="0.15">
      <c r="A3" s="33" t="s">
        <v>116</v>
      </c>
      <c r="B3">
        <f>TINV(B2,B1)</f>
        <v>2.570581835636315</v>
      </c>
      <c r="C3" s="30" t="s">
        <v>119</v>
      </c>
    </row>
    <row r="4" spans="1:3" x14ac:dyDescent="0.15">
      <c r="A4" s="33" t="s">
        <v>117</v>
      </c>
      <c r="B4">
        <f>_xlfn.T.INV(1-B2,B1)</f>
        <v>2.0150483733330233</v>
      </c>
      <c r="C4" s="30" t="s">
        <v>120</v>
      </c>
    </row>
    <row r="5" spans="1:3" x14ac:dyDescent="0.15">
      <c r="A5" s="33" t="s">
        <v>118</v>
      </c>
      <c r="B5">
        <f>_xlfn.T.INV.2T(B2,B1)</f>
        <v>2.570581835636315</v>
      </c>
      <c r="C5" s="30" t="s">
        <v>121</v>
      </c>
    </row>
  </sheetData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A100"/>
  <sheetViews>
    <sheetView workbookViewId="0">
      <selection sqref="A1:A100"/>
    </sheetView>
  </sheetViews>
  <sheetFormatPr baseColWidth="10" defaultRowHeight="13" x14ac:dyDescent="0.15"/>
  <sheetData>
    <row r="1" spans="1:1" x14ac:dyDescent="0.15">
      <c r="A1" s="46">
        <v>5.6824669667990824E-3</v>
      </c>
    </row>
    <row r="2" spans="1:1" x14ac:dyDescent="0.15">
      <c r="A2" s="46">
        <v>1.5348052661262379E-2</v>
      </c>
    </row>
    <row r="3" spans="1:1" x14ac:dyDescent="0.15">
      <c r="A3" s="46">
        <v>1.5861024626302456E-2</v>
      </c>
    </row>
    <row r="4" spans="1:1" x14ac:dyDescent="0.15">
      <c r="A4" s="46">
        <v>1.7030846953290268E-2</v>
      </c>
    </row>
    <row r="5" spans="1:1" x14ac:dyDescent="0.15">
      <c r="A5" s="46">
        <v>3.4396919704053341E-2</v>
      </c>
    </row>
    <row r="6" spans="1:1" x14ac:dyDescent="0.15">
      <c r="A6" s="46">
        <v>3.9951498526776041E-2</v>
      </c>
    </row>
    <row r="7" spans="1:1" x14ac:dyDescent="0.15">
      <c r="A7" s="46">
        <v>5.3715219229355626E-2</v>
      </c>
    </row>
    <row r="8" spans="1:1" x14ac:dyDescent="0.15">
      <c r="A8" s="46">
        <v>6.087722082499325E-2</v>
      </c>
    </row>
    <row r="9" spans="1:1" x14ac:dyDescent="0.15">
      <c r="A9" s="46">
        <v>7.3565886832789973E-2</v>
      </c>
    </row>
    <row r="10" spans="1:1" x14ac:dyDescent="0.15">
      <c r="A10" s="46">
        <v>7.8655949816421544E-2</v>
      </c>
    </row>
    <row r="11" spans="1:1" x14ac:dyDescent="0.15">
      <c r="A11" s="46">
        <v>8.5118253505445773E-2</v>
      </c>
    </row>
    <row r="12" spans="1:1" x14ac:dyDescent="0.15">
      <c r="A12" s="46">
        <v>8.6915505835031936E-2</v>
      </c>
    </row>
    <row r="13" spans="1:1" x14ac:dyDescent="0.15">
      <c r="A13" s="46">
        <v>9.8695150571101453E-2</v>
      </c>
    </row>
    <row r="14" spans="1:1" x14ac:dyDescent="0.15">
      <c r="A14" s="46">
        <v>0.10513636555696693</v>
      </c>
    </row>
    <row r="15" spans="1:1" x14ac:dyDescent="0.15">
      <c r="A15" s="46">
        <v>0.11568003427059581</v>
      </c>
    </row>
    <row r="16" spans="1:1" x14ac:dyDescent="0.15">
      <c r="A16" s="46">
        <v>0.1385118213084624</v>
      </c>
    </row>
    <row r="17" spans="1:1" x14ac:dyDescent="0.15">
      <c r="A17" s="46">
        <v>0.14383323162944051</v>
      </c>
    </row>
    <row r="18" spans="1:1" x14ac:dyDescent="0.15">
      <c r="A18" s="46">
        <v>0.15993115189327833</v>
      </c>
    </row>
    <row r="19" spans="1:1" x14ac:dyDescent="0.15">
      <c r="A19" s="46">
        <v>0.16440608371918786</v>
      </c>
    </row>
    <row r="20" spans="1:1" x14ac:dyDescent="0.15">
      <c r="A20" s="46">
        <v>0.171178767605763</v>
      </c>
    </row>
    <row r="21" spans="1:1" x14ac:dyDescent="0.15">
      <c r="A21" s="46">
        <v>0.17664468225097807</v>
      </c>
    </row>
    <row r="22" spans="1:1" x14ac:dyDescent="0.15">
      <c r="A22" s="46">
        <v>0.21432164787195573</v>
      </c>
    </row>
    <row r="23" spans="1:1" x14ac:dyDescent="0.15">
      <c r="A23" s="46">
        <v>0.22420924020854716</v>
      </c>
    </row>
    <row r="24" spans="1:1" x14ac:dyDescent="0.15">
      <c r="A24" s="46">
        <v>0.24073663235233245</v>
      </c>
    </row>
    <row r="25" spans="1:1" x14ac:dyDescent="0.15">
      <c r="A25" s="46">
        <v>0.2509198349685352</v>
      </c>
    </row>
    <row r="26" spans="1:1" x14ac:dyDescent="0.15">
      <c r="A26" s="46">
        <v>0.25408915357196493</v>
      </c>
    </row>
    <row r="27" spans="1:1" x14ac:dyDescent="0.15">
      <c r="A27" s="46">
        <v>0.26500607790144115</v>
      </c>
    </row>
    <row r="28" spans="1:1" x14ac:dyDescent="0.15">
      <c r="A28" s="46">
        <v>0.28486158363635872</v>
      </c>
    </row>
    <row r="29" spans="1:1" x14ac:dyDescent="0.15">
      <c r="A29" s="46">
        <v>0.31351053309640842</v>
      </c>
    </row>
    <row r="30" spans="1:1" x14ac:dyDescent="0.15">
      <c r="A30" s="46">
        <v>0.31550997187488461</v>
      </c>
    </row>
    <row r="31" spans="1:1" x14ac:dyDescent="0.15">
      <c r="A31" s="46">
        <v>0.3317402881228394</v>
      </c>
    </row>
    <row r="32" spans="1:1" x14ac:dyDescent="0.15">
      <c r="A32" s="46">
        <v>0.3385836363921213</v>
      </c>
    </row>
    <row r="33" spans="1:1" x14ac:dyDescent="0.15">
      <c r="A33" s="46">
        <v>0.34509312290950267</v>
      </c>
    </row>
    <row r="34" spans="1:1" x14ac:dyDescent="0.15">
      <c r="A34" s="46">
        <v>0.35048594368024255</v>
      </c>
    </row>
    <row r="35" spans="1:1" x14ac:dyDescent="0.15">
      <c r="A35" s="46">
        <v>0.38484559839314825</v>
      </c>
    </row>
    <row r="36" spans="1:1" x14ac:dyDescent="0.15">
      <c r="A36" s="46">
        <v>0.40727101356328999</v>
      </c>
    </row>
    <row r="37" spans="1:1" x14ac:dyDescent="0.15">
      <c r="A37" s="46">
        <v>0.46085490562412268</v>
      </c>
    </row>
    <row r="38" spans="1:1" x14ac:dyDescent="0.15">
      <c r="A38" s="46">
        <v>0.46816101285511025</v>
      </c>
    </row>
    <row r="39" spans="1:1" x14ac:dyDescent="0.15">
      <c r="A39" s="46">
        <v>0.47153947570749866</v>
      </c>
    </row>
    <row r="40" spans="1:1" x14ac:dyDescent="0.15">
      <c r="A40" s="46">
        <v>0.47374775117270618</v>
      </c>
    </row>
    <row r="41" spans="1:1" x14ac:dyDescent="0.15">
      <c r="A41" s="46">
        <v>0.49276889899407439</v>
      </c>
    </row>
    <row r="42" spans="1:1" x14ac:dyDescent="0.15">
      <c r="A42" s="46">
        <v>0.50141856198142509</v>
      </c>
    </row>
    <row r="43" spans="1:1" x14ac:dyDescent="0.15">
      <c r="A43" s="46">
        <v>0.50572894401149104</v>
      </c>
    </row>
    <row r="44" spans="1:1" x14ac:dyDescent="0.15">
      <c r="A44" s="46">
        <v>0.5211271014866079</v>
      </c>
    </row>
    <row r="45" spans="1:1" x14ac:dyDescent="0.15">
      <c r="A45" s="46">
        <v>0.52978529543300668</v>
      </c>
    </row>
    <row r="46" spans="1:1" x14ac:dyDescent="0.15">
      <c r="A46" s="46">
        <v>0.53138610204014147</v>
      </c>
    </row>
    <row r="47" spans="1:1" x14ac:dyDescent="0.15">
      <c r="A47" s="46">
        <v>0.53524147720164383</v>
      </c>
    </row>
    <row r="48" spans="1:1" x14ac:dyDescent="0.15">
      <c r="A48" s="46">
        <v>0.54399350175272432</v>
      </c>
    </row>
    <row r="49" spans="1:1" x14ac:dyDescent="0.15">
      <c r="A49" s="46">
        <v>0.54792474783196154</v>
      </c>
    </row>
    <row r="50" spans="1:1" x14ac:dyDescent="0.15">
      <c r="A50" s="46">
        <v>0.58598552620404776</v>
      </c>
    </row>
    <row r="51" spans="1:1" x14ac:dyDescent="0.15">
      <c r="A51" s="46">
        <v>0.60144721242276666</v>
      </c>
    </row>
    <row r="52" spans="1:1" x14ac:dyDescent="0.15">
      <c r="A52" s="46">
        <v>0.60531752348136858</v>
      </c>
    </row>
    <row r="53" spans="1:1" x14ac:dyDescent="0.15">
      <c r="A53" s="46">
        <v>0.6073831715264304</v>
      </c>
    </row>
    <row r="54" spans="1:1" x14ac:dyDescent="0.15">
      <c r="A54" s="46">
        <v>0.61018572566185247</v>
      </c>
    </row>
    <row r="55" spans="1:1" x14ac:dyDescent="0.15">
      <c r="A55" s="46">
        <v>0.63633449751814097</v>
      </c>
    </row>
    <row r="56" spans="1:1" x14ac:dyDescent="0.15">
      <c r="A56" s="46">
        <v>0.63827054477912315</v>
      </c>
    </row>
    <row r="57" spans="1:1" x14ac:dyDescent="0.15">
      <c r="A57" s="46">
        <v>0.66808510816898603</v>
      </c>
    </row>
    <row r="58" spans="1:1" x14ac:dyDescent="0.15">
      <c r="A58" s="46">
        <v>0.67521380601924452</v>
      </c>
    </row>
    <row r="59" spans="1:1" x14ac:dyDescent="0.15">
      <c r="A59" s="46">
        <v>0.67860105887639333</v>
      </c>
    </row>
    <row r="60" spans="1:1" x14ac:dyDescent="0.15">
      <c r="A60" s="46">
        <v>0.68387713274231121</v>
      </c>
    </row>
    <row r="61" spans="1:1" x14ac:dyDescent="0.15">
      <c r="A61" s="46">
        <v>0.68646290375862384</v>
      </c>
    </row>
    <row r="62" spans="1:1" x14ac:dyDescent="0.15">
      <c r="A62" s="46">
        <v>0.6868891819268701</v>
      </c>
    </row>
    <row r="63" spans="1:1" x14ac:dyDescent="0.15">
      <c r="A63" s="46">
        <v>0.69989886059503104</v>
      </c>
    </row>
    <row r="64" spans="1:1" x14ac:dyDescent="0.15">
      <c r="A64" s="46">
        <v>0.70974635020427579</v>
      </c>
    </row>
    <row r="65" spans="1:1" x14ac:dyDescent="0.15">
      <c r="A65" s="46">
        <v>0.72358890330450687</v>
      </c>
    </row>
    <row r="66" spans="1:1" x14ac:dyDescent="0.15">
      <c r="A66" s="46">
        <v>0.73015971691817128</v>
      </c>
    </row>
    <row r="67" spans="1:1" x14ac:dyDescent="0.15">
      <c r="A67" s="46">
        <v>0.74150533742405889</v>
      </c>
    </row>
    <row r="68" spans="1:1" x14ac:dyDescent="0.15">
      <c r="A68" s="46">
        <v>0.74579017568805073</v>
      </c>
    </row>
    <row r="69" spans="1:1" x14ac:dyDescent="0.15">
      <c r="A69" s="46">
        <v>0.74872197563207099</v>
      </c>
    </row>
    <row r="70" spans="1:1" x14ac:dyDescent="0.15">
      <c r="A70" s="46">
        <v>0.75202800051240337</v>
      </c>
    </row>
    <row r="71" spans="1:1" x14ac:dyDescent="0.15">
      <c r="A71" s="46">
        <v>0.76358189029848722</v>
      </c>
    </row>
    <row r="72" spans="1:1" x14ac:dyDescent="0.15">
      <c r="A72" s="46">
        <v>0.77071750606717337</v>
      </c>
    </row>
    <row r="73" spans="1:1" x14ac:dyDescent="0.15">
      <c r="A73" s="46">
        <v>0.77518639842656389</v>
      </c>
    </row>
    <row r="74" spans="1:1" x14ac:dyDescent="0.15">
      <c r="A74" s="46">
        <v>0.77695213729246437</v>
      </c>
    </row>
    <row r="75" spans="1:1" x14ac:dyDescent="0.15">
      <c r="A75" s="46">
        <v>0.78261896912128281</v>
      </c>
    </row>
    <row r="76" spans="1:1" x14ac:dyDescent="0.15">
      <c r="A76" s="46">
        <v>0.79817942628305416</v>
      </c>
    </row>
    <row r="77" spans="1:1" x14ac:dyDescent="0.15">
      <c r="A77" s="46">
        <v>0.79908357485017145</v>
      </c>
    </row>
    <row r="78" spans="1:1" x14ac:dyDescent="0.15">
      <c r="A78" s="46">
        <v>0.80255826274016706</v>
      </c>
    </row>
    <row r="79" spans="1:1" x14ac:dyDescent="0.15">
      <c r="A79" s="46">
        <v>0.81789473768782206</v>
      </c>
    </row>
    <row r="80" spans="1:1" x14ac:dyDescent="0.15">
      <c r="A80" s="46">
        <v>0.8276638792427119</v>
      </c>
    </row>
    <row r="81" spans="1:1" x14ac:dyDescent="0.15">
      <c r="A81" s="46">
        <v>0.82984900121688276</v>
      </c>
    </row>
    <row r="82" spans="1:1" x14ac:dyDescent="0.15">
      <c r="A82" s="46">
        <v>0.84156723637915243</v>
      </c>
    </row>
    <row r="83" spans="1:1" x14ac:dyDescent="0.15">
      <c r="A83" s="46">
        <v>0.84504203566879621</v>
      </c>
    </row>
    <row r="84" spans="1:1" x14ac:dyDescent="0.15">
      <c r="A84" s="46">
        <v>0.84623970809102411</v>
      </c>
    </row>
    <row r="85" spans="1:1" x14ac:dyDescent="0.15">
      <c r="A85" s="46">
        <v>0.84840482192923006</v>
      </c>
    </row>
    <row r="86" spans="1:1" x14ac:dyDescent="0.15">
      <c r="A86" s="46">
        <v>0.8494754013018615</v>
      </c>
    </row>
    <row r="87" spans="1:1" x14ac:dyDescent="0.15">
      <c r="A87" s="46">
        <v>0.85639441308334174</v>
      </c>
    </row>
    <row r="88" spans="1:1" x14ac:dyDescent="0.15">
      <c r="A88" s="46">
        <v>0.86648309993106487</v>
      </c>
    </row>
    <row r="89" spans="1:1" x14ac:dyDescent="0.15">
      <c r="A89" s="46">
        <v>0.86939012956434969</v>
      </c>
    </row>
    <row r="90" spans="1:1" x14ac:dyDescent="0.15">
      <c r="A90" s="46">
        <v>0.89746025132989293</v>
      </c>
    </row>
    <row r="91" spans="1:1" x14ac:dyDescent="0.15">
      <c r="A91" s="46">
        <v>0.90210411584247174</v>
      </c>
    </row>
    <row r="92" spans="1:1" x14ac:dyDescent="0.15">
      <c r="A92" s="46">
        <v>0.91099712474662153</v>
      </c>
    </row>
    <row r="93" spans="1:1" x14ac:dyDescent="0.15">
      <c r="A93" s="46">
        <v>0.91977289929955541</v>
      </c>
    </row>
    <row r="94" spans="1:1" x14ac:dyDescent="0.15">
      <c r="A94" s="46">
        <v>0.93097527225565857</v>
      </c>
    </row>
    <row r="95" spans="1:1" x14ac:dyDescent="0.15">
      <c r="A95" s="46">
        <v>0.93319952242133486</v>
      </c>
    </row>
    <row r="96" spans="1:1" x14ac:dyDescent="0.15">
      <c r="A96" s="46">
        <v>0.93814170286701792</v>
      </c>
    </row>
    <row r="97" spans="1:1" x14ac:dyDescent="0.15">
      <c r="A97" s="46">
        <v>0.93956345308263989</v>
      </c>
    </row>
    <row r="98" spans="1:1" x14ac:dyDescent="0.15">
      <c r="A98" s="46">
        <v>0.95091268441298282</v>
      </c>
    </row>
    <row r="99" spans="1:1" x14ac:dyDescent="0.15">
      <c r="A99" s="46">
        <v>0.95223797303585023</v>
      </c>
    </row>
    <row r="100" spans="1:1" x14ac:dyDescent="0.15">
      <c r="A100" s="46">
        <v>0.97052172536653736</v>
      </c>
    </row>
  </sheetData>
  <sortState xmlns:xlrd2="http://schemas.microsoft.com/office/spreadsheetml/2017/richdata2" ref="A1:A100">
    <sortCondition ref="A1:A100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RAND function</vt:lpstr>
      <vt:lpstr>Distributions</vt:lpstr>
      <vt:lpstr>DiscreteEmpirical</vt:lpstr>
      <vt:lpstr>Data Table</vt:lpstr>
      <vt:lpstr>Plotting the Function</vt:lpstr>
      <vt:lpstr>Simulation MC</vt:lpstr>
      <vt:lpstr>Simulation-Frozen</vt:lpstr>
      <vt:lpstr>PV Example</vt:lpstr>
      <vt:lpstr>PV Example n=1911</vt:lpstr>
      <vt:lpstr>News Vendor Example</vt:lpstr>
      <vt:lpstr>SampleSize</vt:lpstr>
      <vt:lpstr>Z SampleSize</vt:lpstr>
      <vt:lpstr>TINV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Manuel D. Rossetti</cp:lastModifiedBy>
  <dcterms:created xsi:type="dcterms:W3CDTF">1996-10-14T23:33:28Z</dcterms:created>
  <dcterms:modified xsi:type="dcterms:W3CDTF">2020-10-15T18:01:23Z</dcterms:modified>
</cp:coreProperties>
</file>